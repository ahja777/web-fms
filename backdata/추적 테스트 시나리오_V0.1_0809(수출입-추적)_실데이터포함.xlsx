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태철\Downloads\●__화물추적_추가관련\테스트 시나리오\"/>
    </mc:Choice>
  </mc:AlternateContent>
  <bookViews>
    <workbookView xWindow="2115" yWindow="375" windowWidth="23895" windowHeight="15090" tabRatio="888" activeTab="2"/>
  </bookViews>
  <sheets>
    <sheet name="추적 테스트시나리오목록" sheetId="32" r:id="rId1"/>
    <sheet name="추적필수정보" sheetId="36" r:id="rId2"/>
    <sheet name="Data(해상수입)" sheetId="38" r:id="rId3"/>
    <sheet name="Data(해상수출)" sheetId="37" r:id="rId4"/>
    <sheet name="해상수입" sheetId="22" r:id="rId5"/>
    <sheet name="해상수출" sheetId="33" r:id="rId6"/>
    <sheet name="항공수입" sheetId="34" r:id="rId7"/>
    <sheet name="항공수출" sheetId="35" r:id="rId8"/>
  </sheets>
  <definedNames>
    <definedName name="_Sort" localSheetId="2" hidden="1">#REF!</definedName>
    <definedName name="_Sort" localSheetId="0" hidden="1">#REF!</definedName>
    <definedName name="_Sort" localSheetId="6" hidden="1">#REF!</definedName>
    <definedName name="_Sort" localSheetId="7" hidden="1">#REF!</definedName>
    <definedName name="_Sort" localSheetId="4" hidden="1">#REF!</definedName>
    <definedName name="_Sort" localSheetId="5" hidden="1">#REF!</definedName>
    <definedName name="_Sort" hidden="1">#REF!</definedName>
    <definedName name="문서명" localSheetId="2">#REF!</definedName>
    <definedName name="문서명" localSheetId="6">#REF!</definedName>
    <definedName name="문서명" localSheetId="7">#REF!</definedName>
    <definedName name="문서명" localSheetId="5">#REF!</definedName>
    <definedName name="문서명">#REF!</definedName>
    <definedName name="문서번호" localSheetId="2">#REF!</definedName>
    <definedName name="문서번호" localSheetId="6">#REF!</definedName>
    <definedName name="문서번호" localSheetId="7">#REF!</definedName>
    <definedName name="문서번호" localSheetId="5">#REF!</definedName>
    <definedName name="문서번호">#REF!</definedName>
    <definedName name="프로젝트명" localSheetId="2">#REF!</definedName>
    <definedName name="프로젝트명" localSheetId="6">#REF!</definedName>
    <definedName name="프로젝트명" localSheetId="7">#REF!</definedName>
    <definedName name="프로젝트명" localSheetId="5">#REF!</definedName>
    <definedName name="프로젝트명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35" l="1"/>
  <c r="M3" i="35"/>
  <c r="L3" i="35"/>
  <c r="K3" i="35"/>
  <c r="J3" i="35"/>
  <c r="N3" i="34"/>
  <c r="M3" i="34"/>
  <c r="L3" i="34"/>
  <c r="K3" i="34"/>
  <c r="J3" i="34"/>
  <c r="N3" i="33"/>
  <c r="M3" i="33"/>
  <c r="L3" i="33"/>
  <c r="K3" i="33"/>
  <c r="J3" i="33"/>
  <c r="N3" i="22"/>
  <c r="M3" i="22"/>
  <c r="L3" i="22"/>
  <c r="K3" i="22"/>
  <c r="J3" i="22"/>
  <c r="L6" i="32" l="1"/>
  <c r="K6" i="32"/>
  <c r="J6" i="32"/>
  <c r="I5" i="32"/>
  <c r="I7" i="32"/>
  <c r="M7" i="32"/>
  <c r="M6" i="32"/>
  <c r="I6" i="32"/>
  <c r="M5" i="32"/>
  <c r="L7" i="32" l="1"/>
  <c r="K7" i="32"/>
  <c r="J7" i="32"/>
  <c r="O3" i="34"/>
  <c r="N6" i="32" s="1"/>
  <c r="L5" i="32"/>
  <c r="J5" i="32"/>
  <c r="O3" i="35" l="1"/>
  <c r="N7" i="32" s="1"/>
  <c r="O3" i="33"/>
  <c r="N5" i="32" s="1"/>
  <c r="K5" i="32"/>
  <c r="I4" i="32"/>
  <c r="I3" i="32" s="1"/>
  <c r="L4" i="32"/>
  <c r="L3" i="32" s="1"/>
  <c r="M4" i="32"/>
  <c r="M3" i="32" s="1"/>
  <c r="J4" i="32" l="1"/>
  <c r="J3" i="32" s="1"/>
  <c r="O3" i="22"/>
  <c r="N4" i="32" s="1"/>
  <c r="K4" i="32"/>
  <c r="K3" i="32" s="1"/>
  <c r="N3" i="32" s="1"/>
</calcChain>
</file>

<file path=xl/sharedStrings.xml><?xml version="1.0" encoding="utf-8"?>
<sst xmlns="http://schemas.openxmlformats.org/spreadsheetml/2006/main" count="1378" uniqueCount="555">
  <si>
    <t>시나리오명</t>
    <phoneticPr fontId="6" type="noConversion"/>
  </si>
  <si>
    <t>테스트 수</t>
    <phoneticPr fontId="6" type="noConversion"/>
  </si>
  <si>
    <t>Pass 수</t>
    <phoneticPr fontId="6" type="noConversion"/>
  </si>
  <si>
    <t>Fail 수</t>
    <phoneticPr fontId="6" type="noConversion"/>
  </si>
  <si>
    <t>N/A</t>
    <phoneticPr fontId="6" type="noConversion"/>
  </si>
  <si>
    <t>조치 수</t>
    <phoneticPr fontId="6" type="noConversion"/>
  </si>
  <si>
    <t>조치율</t>
    <phoneticPr fontId="6" type="noConversion"/>
  </si>
  <si>
    <t>02</t>
  </si>
  <si>
    <t>테스트결과</t>
  </si>
  <si>
    <t>통합테스트 시나리오</t>
  </si>
  <si>
    <t>테스트일자</t>
  </si>
  <si>
    <t>테스트 결과</t>
  </si>
  <si>
    <t>시나리오 설명</t>
    <phoneticPr fontId="6" type="noConversion"/>
  </si>
  <si>
    <t>구분</t>
    <phoneticPr fontId="6" type="noConversion"/>
  </si>
  <si>
    <t>사용자</t>
    <phoneticPr fontId="6" type="noConversion"/>
  </si>
  <si>
    <t>메뉴</t>
    <phoneticPr fontId="6" type="noConversion"/>
  </si>
  <si>
    <t>단위기능(화면 명)</t>
    <phoneticPr fontId="6" type="noConversion"/>
  </si>
  <si>
    <t>ID</t>
    <phoneticPr fontId="6" type="noConversion"/>
  </si>
  <si>
    <t>테스트 케이스</t>
    <phoneticPr fontId="6" type="noConversion"/>
  </si>
  <si>
    <t>예상결과</t>
    <phoneticPr fontId="6" type="noConversion"/>
  </si>
  <si>
    <t>사전조건</t>
    <phoneticPr fontId="6" type="noConversion"/>
  </si>
  <si>
    <t>조치자</t>
    <phoneticPr fontId="6" type="noConversion"/>
  </si>
  <si>
    <t>조치예정일</t>
    <phoneticPr fontId="6" type="noConversion"/>
  </si>
  <si>
    <t>조치완료일</t>
    <phoneticPr fontId="6" type="noConversion"/>
  </si>
  <si>
    <t>조치내용/비고</t>
    <phoneticPr fontId="6" type="noConversion"/>
  </si>
  <si>
    <t>통합테스트 케이스</t>
    <phoneticPr fontId="6" type="noConversion"/>
  </si>
  <si>
    <t>테스트 데이터</t>
    <phoneticPr fontId="6" type="noConversion"/>
  </si>
  <si>
    <t>01</t>
  </si>
  <si>
    <t>04</t>
  </si>
  <si>
    <t>05</t>
  </si>
  <si>
    <t>06</t>
  </si>
  <si>
    <t>07</t>
  </si>
  <si>
    <t>08</t>
  </si>
  <si>
    <t>09</t>
  </si>
  <si>
    <t>10</t>
  </si>
  <si>
    <t>11</t>
  </si>
  <si>
    <t>업무흐름</t>
    <phoneticPr fontId="6" type="noConversion"/>
  </si>
  <si>
    <t>무역업체(포워더)</t>
    <phoneticPr fontId="6" type="noConversion"/>
  </si>
  <si>
    <t>03</t>
  </si>
  <si>
    <t>No.</t>
    <phoneticPr fontId="6" type="noConversion"/>
  </si>
  <si>
    <t>시스템명</t>
    <phoneticPr fontId="6" type="noConversion"/>
  </si>
  <si>
    <t>업무명</t>
    <phoneticPr fontId="6" type="noConversion"/>
  </si>
  <si>
    <t>계획 시작일</t>
    <phoneticPr fontId="6" type="noConversion"/>
  </si>
  <si>
    <t>계획 완료일</t>
    <phoneticPr fontId="6" type="noConversion"/>
  </si>
  <si>
    <t>실제 시작일</t>
    <phoneticPr fontId="6" type="noConversion"/>
  </si>
  <si>
    <t>실제 완료일</t>
    <phoneticPr fontId="6" type="noConversion"/>
  </si>
  <si>
    <t>비고(특이사항)</t>
    <phoneticPr fontId="6" type="noConversion"/>
  </si>
  <si>
    <t>최종결과
(P:Pass, F:Fail)</t>
    <phoneticPr fontId="6" type="noConversion"/>
  </si>
  <si>
    <t>물류네트워크</t>
    <phoneticPr fontId="18" type="noConversion"/>
  </si>
  <si>
    <t>Digital Cargo-Tracking ( C)</t>
    <phoneticPr fontId="6" type="noConversion"/>
  </si>
  <si>
    <t>P</t>
  </si>
  <si>
    <t>조치결과</t>
    <phoneticPr fontId="6" type="noConversion"/>
  </si>
  <si>
    <t>ID : FSARIR0001
     (아리랑 국제물류)</t>
    <phoneticPr fontId="6" type="noConversion"/>
  </si>
  <si>
    <t>테스트 결과</t>
    <phoneticPr fontId="6" type="noConversion"/>
  </si>
  <si>
    <t>통계</t>
    <phoneticPr fontId="6" type="noConversion"/>
  </si>
  <si>
    <t>결함내용/비고</t>
    <phoneticPr fontId="6" type="noConversion"/>
  </si>
  <si>
    <t>Cargo Tracking&gt;My Cargo-Tracking&gt;실시간모니터링</t>
    <phoneticPr fontId="6" type="noConversion"/>
  </si>
  <si>
    <t>화물위치 (Tab)</t>
    <phoneticPr fontId="6" type="noConversion"/>
  </si>
  <si>
    <t>해상 수입</t>
    <phoneticPr fontId="6" type="noConversion"/>
  </si>
  <si>
    <t>1) 해상 수입 업부에 따른 실 데이터를 입력하고 화물추적 모니터링화면에서 화물위치/화물추적/운송자산별로 데이터 추적을 진행한다.</t>
    <phoneticPr fontId="6" type="noConversion"/>
  </si>
  <si>
    <t>1) 해상 수입 업무 실데이터를 통한 화물추적 모니터링 테스트</t>
    <phoneticPr fontId="6" type="noConversion"/>
  </si>
  <si>
    <t>조건에 따른 목록 조회</t>
    <phoneticPr fontId="6" type="noConversion"/>
  </si>
  <si>
    <t>지도에 아이콘 표시</t>
    <phoneticPr fontId="6" type="noConversion"/>
  </si>
  <si>
    <t>목록 선택하여 지도에 운송체 아이콘 표출</t>
    <phoneticPr fontId="6" type="noConversion"/>
  </si>
  <si>
    <t>[화물추적 (Tab)]으로 이동</t>
    <phoneticPr fontId="6" type="noConversion"/>
  </si>
  <si>
    <t>화물추적 (Tab)</t>
    <phoneticPr fontId="6" type="noConversion"/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</si>
  <si>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</si>
  <si>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</si>
  <si>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</si>
  <si>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</si>
  <si>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</si>
  <si>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</si>
  <si>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</si>
  <si>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</si>
  <si>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</si>
  <si>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</si>
  <si>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</si>
  <si>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</si>
  <si>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</si>
  <si>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</si>
  <si>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</si>
  <si>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(수 · 출입 : 수입이 선택되어 있음)
선사/포워더 : 수동 입력 후 조회</t>
    <phoneticPr fontId="6" type="noConversion"/>
  </si>
  <si>
    <t>[검색조건]
조회일자 : [시작일]~[종료일] 조회</t>
    <phoneticPr fontId="6" type="noConversion"/>
  </si>
  <si>
    <t>[검색조건]
수 · 출입 : 수입 선택 후 검색조건별 조회</t>
    <phoneticPr fontId="6" type="noConversion"/>
  </si>
  <si>
    <t>검색된 목록의 [화물추적] 버튼 선택</t>
    <phoneticPr fontId="6" type="noConversion"/>
  </si>
  <si>
    <t>[검색조건]
조회일자 : [2주] 버튼 조회</t>
    <phoneticPr fontId="6" type="noConversion"/>
  </si>
  <si>
    <t>[검색조건]
조회일자 : [1달] 버튼 조회</t>
    <phoneticPr fontId="6" type="noConversion"/>
  </si>
  <si>
    <t>[검색조건]
조회일자 : [2달] 버튼 조회</t>
    <phoneticPr fontId="6" type="noConversion"/>
  </si>
  <si>
    <t>지도의 운송체 아이콘 선택하여 팝업 노출</t>
    <phoneticPr fontId="6" type="noConversion"/>
  </si>
  <si>
    <t>[검색조건]
선사/포워더 : [LIST] 버튼 조회</t>
    <phoneticPr fontId="6" type="noConversion"/>
  </si>
  <si>
    <t>[검색조건]
검색조건 : [LIST] 버튼 조회 (BL조회)</t>
    <phoneticPr fontId="6" type="noConversion"/>
  </si>
  <si>
    <t>선사/포워더 조회 팝업 노출</t>
    <phoneticPr fontId="6" type="noConversion"/>
  </si>
  <si>
    <t>[선사/포워더 팝업창] 조회
 -코드값 입력하여 조회
 -조회된 목록 선택하여 검색옵션에 자동입력</t>
    <phoneticPr fontId="6" type="noConversion"/>
  </si>
  <si>
    <t>B/L 조회 팝업 노출</t>
    <phoneticPr fontId="6" type="noConversion"/>
  </si>
  <si>
    <t>[B/L 조회 팝업창] 조회
 -조회일자 : 시작일~종료일 선택 조회
 -[2주] 버튼 조회
 -[1달] 버튼 조회
 -[2달] 버튼 조회
 -수 · 출입 옵션 선택 후 검색조건 선택 조회
 -B/L 입력하여 조회
 -조회된 목록 선택하여 검색옵션에 자동입력</t>
    <phoneticPr fontId="6" type="noConversion"/>
  </si>
  <si>
    <t>[Event Tracking]
 -선박운송</t>
    <phoneticPr fontId="6" type="noConversion"/>
  </si>
  <si>
    <t>[Event Tracking]
 -항공기운송</t>
    <phoneticPr fontId="6" type="noConversion"/>
  </si>
  <si>
    <t>[Event Tracking]
 -내륙운송(컨테이너)</t>
    <phoneticPr fontId="6" type="noConversion"/>
  </si>
  <si>
    <t>[Event Tracking]
 -내육운송(화물)</t>
    <phoneticPr fontId="6" type="noConversion"/>
  </si>
  <si>
    <t>[Document Tracking]
 -DOCUMENT</t>
    <phoneticPr fontId="6" type="noConversion"/>
  </si>
  <si>
    <t>[Document Tracking]
 -수입화물진행정보</t>
    <phoneticPr fontId="6" type="noConversion"/>
  </si>
  <si>
    <t>기항지별 출발/도착 시간 노출</t>
    <phoneticPr fontId="6" type="noConversion"/>
  </si>
  <si>
    <t>출발/도착 시간 노출</t>
    <phoneticPr fontId="6" type="noConversion"/>
  </si>
  <si>
    <t>컨테이너 번호 노출
 -이벤트(출발(반출), 상차, 하차)별 시간 노출</t>
    <phoneticPr fontId="6" type="noConversion"/>
  </si>
  <si>
    <t>이벤트(출발,하차)별 시간 노출</t>
    <phoneticPr fontId="6" type="noConversion"/>
  </si>
  <si>
    <t>수출입서류별 B/L 시간 노출</t>
    <phoneticPr fontId="6" type="noConversion"/>
  </si>
  <si>
    <t>세관서류별 시간 노출</t>
    <phoneticPr fontId="6" type="noConversion"/>
  </si>
  <si>
    <t>운송자산 (Tab)</t>
    <phoneticPr fontId="6" type="noConversion"/>
  </si>
  <si>
    <t>[검색조건]
 -운송유형, 운송상태, 검색조건 조회</t>
    <phoneticPr fontId="6" type="noConversion"/>
  </si>
  <si>
    <t xml:space="preserve"> -조건에 따른 목록 조회
 -신규선박 등록</t>
    <phoneticPr fontId="6" type="noConversion"/>
  </si>
  <si>
    <t>[선박등록(직접) 팝업창]조회
 -선박 조회
 -신규 등록</t>
    <phoneticPr fontId="6" type="noConversion"/>
  </si>
  <si>
    <t>[입출항 팝업창]조회
 -조회
 -조회결과에서 체크하여 등록</t>
    <phoneticPr fontId="6" type="noConversion"/>
  </si>
  <si>
    <t xml:space="preserve"> -조건에 따른 목록 조회
 -즐겨찾기 등록</t>
    <phoneticPr fontId="6" type="noConversion"/>
  </si>
  <si>
    <t>지도의 자산 아이콘 선택하여 팝업 노출</t>
    <phoneticPr fontId="6" type="noConversion"/>
  </si>
  <si>
    <t xml:space="preserve"> -항적 정보 노출
 -[상세정보] 버튼 선택하여 운송체 세부 정보 노출</t>
    <phoneticPr fontId="6" type="noConversion"/>
  </si>
  <si>
    <t xml:space="preserve"> -운송체 정보 노출
 -출발지~도착지 정보 노출
 -최종 정보 수집일시 정보 노출
 -[상세정보] 버튼 선택하여 운송체 세부 정보 노출
 -[TRACKING] 버튼 선택하여 [화물추적 (Tab)]으로 이동</t>
    <phoneticPr fontId="6" type="noConversion"/>
  </si>
  <si>
    <t>[운송자산 팝업창]의 [알람설정]
 -[알람설정] 버튼 선택하여 팝업창 노출
 -알람설정 등록</t>
    <phoneticPr fontId="6" type="noConversion"/>
  </si>
  <si>
    <t xml:space="preserve"> -알람설정 등록
 -조건에 따른 알람 발송</t>
    <phoneticPr fontId="6" type="noConversion"/>
  </si>
  <si>
    <t>[운송자산 팝업창]의 [터미널정보]
 -[터미널정보] 버튼 선택하여 팝업창 노출</t>
    <phoneticPr fontId="6" type="noConversion"/>
  </si>
  <si>
    <t xml:space="preserve"> -터미널 정보 노출
 -[하선장소] 선택하여 주소로 팝업창(지도) 노출
 -선석배정현황 노출</t>
    <phoneticPr fontId="6" type="noConversion"/>
  </si>
  <si>
    <t>해상 수출</t>
    <phoneticPr fontId="6" type="noConversion"/>
  </si>
  <si>
    <t>1) 해상 수출 업부에 따른 실 데이터를 입력하고 화물추적 모니터링화면에서 화물위치/화물추적/운송자산별로 데이터 추적을 진행한다.</t>
    <phoneticPr fontId="6" type="noConversion"/>
  </si>
  <si>
    <t>1) 해상 수출 업무 실데이터를 통한 화물추적 모니터링 테스트</t>
    <phoneticPr fontId="6" type="noConversion"/>
  </si>
  <si>
    <t>[검색조건]
수 · 출입 : 수출 선택 후 검색조건별 조회</t>
    <phoneticPr fontId="6" type="noConversion"/>
  </si>
  <si>
    <t>(수 · 출입 : 수출이 선택되어 있음)
선사/포워더 : 수동 입력 후 조회</t>
    <phoneticPr fontId="6" type="noConversion"/>
  </si>
  <si>
    <t>[Document Tracking]
 -수출화물진행정보</t>
    <phoneticPr fontId="6" type="noConversion"/>
  </si>
  <si>
    <t>항공 수입</t>
    <phoneticPr fontId="6" type="noConversion"/>
  </si>
  <si>
    <t>1) 항공 수입 업부에 따른 실 데이터를 입력하고 화물추적 모니터링화면에서 화물위치/화물추적/운송자산별로 데이터 추적을 진행한다.</t>
    <phoneticPr fontId="6" type="noConversion"/>
  </si>
  <si>
    <t>1) 항공 수입 업무 실데이터를 통한 화물추적 모니터링 테스트</t>
    <phoneticPr fontId="6" type="noConversion"/>
  </si>
  <si>
    <t>항공 수출</t>
    <phoneticPr fontId="6" type="noConversion"/>
  </si>
  <si>
    <t>1) 항공 수출 업부에 따른 실 데이터를 입력하고 화물추적 모니터링화면에서 화물위치/화물추적/운송자산별로 데이터 추적을 진행한다.</t>
    <phoneticPr fontId="6" type="noConversion"/>
  </si>
  <si>
    <t>1) 항공 수출 업무 실데이터를 통한 화물추적 모니터링 테스트</t>
    <phoneticPr fontId="6" type="noConversion"/>
  </si>
  <si>
    <t xml:space="preserve"> -터미널 정보 노출
 -[하선장소] 선택하여 주소로 팝업창(지도) 노출
 -본선작업현황 노출</t>
    <phoneticPr fontId="6" type="noConversion"/>
  </si>
  <si>
    <t>통계</t>
    <phoneticPr fontId="6" type="noConversion"/>
  </si>
  <si>
    <t>해상수입</t>
  </si>
  <si>
    <t>해상수입</t>
    <phoneticPr fontId="6" type="noConversion"/>
  </si>
  <si>
    <t>해상수출</t>
  </si>
  <si>
    <t>해상수출</t>
    <phoneticPr fontId="6" type="noConversion"/>
  </si>
  <si>
    <t>항공수입</t>
  </si>
  <si>
    <t>항공수입</t>
    <phoneticPr fontId="6" type="noConversion"/>
  </si>
  <si>
    <t>항공수출</t>
  </si>
  <si>
    <t>항공수출</t>
    <phoneticPr fontId="6" type="noConversion"/>
  </si>
  <si>
    <t>B/L등록</t>
  </si>
  <si>
    <t>B/L관리번호</t>
  </si>
  <si>
    <t>하우스BL번호</t>
  </si>
  <si>
    <t>선적항코드</t>
  </si>
  <si>
    <t>마스터BL번호</t>
  </si>
  <si>
    <t>선적항명</t>
  </si>
  <si>
    <t>선적항출발예상시간</t>
  </si>
  <si>
    <t>양허항코드</t>
  </si>
  <si>
    <t>양허항명</t>
  </si>
  <si>
    <t>양하항입항예상시간</t>
  </si>
  <si>
    <t>하우스AWB번호</t>
  </si>
  <si>
    <t>마스터AWB번호</t>
  </si>
  <si>
    <t>운송오더관리(수출)</t>
  </si>
  <si>
    <t>운송오더관리(수입)</t>
  </si>
  <si>
    <t>운송오더관리번호</t>
  </si>
  <si>
    <t>부킹번호</t>
  </si>
  <si>
    <t>출발지코드</t>
  </si>
  <si>
    <t>출발지명</t>
  </si>
  <si>
    <t>운송시작일자시간</t>
  </si>
  <si>
    <t>도착지코드</t>
  </si>
  <si>
    <t>도착지명</t>
  </si>
  <si>
    <t>운송종료일자시간</t>
  </si>
  <si>
    <t>차량번호</t>
  </si>
  <si>
    <t>운전자명</t>
  </si>
  <si>
    <t>운전자모바일번호</t>
  </si>
  <si>
    <t>컨테이너번호</t>
  </si>
  <si>
    <t>무역업체(포워더)</t>
    <phoneticPr fontId="6" type="noConversion"/>
  </si>
  <si>
    <t>Shipping&gt;수입B/L관리&gt;해상B/L조회</t>
    <phoneticPr fontId="6" type="noConversion"/>
  </si>
  <si>
    <t>해상B/L조회</t>
    <phoneticPr fontId="6" type="noConversion"/>
  </si>
  <si>
    <t>[등록]
목록 화면에서 '신규'버튼 클릭.</t>
    <phoneticPr fontId="6" type="noConversion"/>
  </si>
  <si>
    <t>B/L등록 화면으로 이동</t>
    <phoneticPr fontId="6" type="noConversion"/>
  </si>
  <si>
    <t>ID : FSARIR0001
     (아리랑 국제물류)</t>
    <phoneticPr fontId="6" type="noConversion"/>
  </si>
  <si>
    <t>해상B/L조회
(Main TAB)</t>
    <phoneticPr fontId="6" type="noConversion"/>
  </si>
  <si>
    <t>[등록]
MAIN  TAB 정보 등록</t>
    <phoneticPr fontId="6" type="noConversion"/>
  </si>
  <si>
    <t xml:space="preserve">수출입구분
업무유형
M BL NO
H BL NO
SHIPPIER
CONSIGNEE
NOTIFY
LINE
CALL SIGN
PORT OF LOADING
PORT OF DISCHARGE
FINAL DESTINATION
VESSEL NAME
VOYAGE NO
ONBOARD DATE
ETD / ETA
</t>
    <phoneticPr fontId="6" type="noConversion"/>
  </si>
  <si>
    <t>수출입구분 (수입)
업무유형(CONSOL)</t>
    <phoneticPr fontId="6" type="noConversion"/>
  </si>
  <si>
    <t>해상B/L조회
(Cargo TAB)</t>
    <phoneticPr fontId="6" type="noConversion"/>
  </si>
  <si>
    <t>[등록]
CARGO TAB 정보 등록</t>
    <phoneticPr fontId="6" type="noConversion"/>
  </si>
  <si>
    <t xml:space="preserve">컨테이너 규격(유형)
Package
Gross Weight
Measurerment
R.Ton
Container 20
Container 40
Container No
Container 규격
Seal No 1
Package
Unit
G.Weight
Measurement
</t>
    <phoneticPr fontId="6" type="noConversion"/>
  </si>
  <si>
    <t>컨테이너 규격(유형)
Ex)
(LCL/FCL/BULK)
Container 20(갯수입력)
Container 40(갯수입력)</t>
    <phoneticPr fontId="6" type="noConversion"/>
  </si>
  <si>
    <t>해상B/L조회
(Other TAB)</t>
    <phoneticPr fontId="6" type="noConversion"/>
  </si>
  <si>
    <t>[등록]
OTHER TAB 정보 등록</t>
    <phoneticPr fontId="6" type="noConversion"/>
  </si>
  <si>
    <t>MRN NO
MSN
HSN</t>
    <phoneticPr fontId="6" type="noConversion"/>
  </si>
  <si>
    <t>[등록]
TAB 정보를 등록 완료후 '저장'버튼 클릭.</t>
    <phoneticPr fontId="6" type="noConversion"/>
  </si>
  <si>
    <t>목록화면으로 이동, 저장된 B/L등록건의 정보를 목록에서 표시 처리</t>
    <phoneticPr fontId="6" type="noConversion"/>
  </si>
  <si>
    <t>27</t>
  </si>
  <si>
    <t>28</t>
  </si>
  <si>
    <t>29</t>
  </si>
  <si>
    <t>30</t>
  </si>
  <si>
    <t>31</t>
  </si>
  <si>
    <t>무역업체(포워더)</t>
    <phoneticPr fontId="6" type="noConversion"/>
  </si>
  <si>
    <t>Shipping&gt;수출B/L관리&gt;해상B/L조회</t>
    <phoneticPr fontId="6" type="noConversion"/>
  </si>
  <si>
    <t>해상B/L조회</t>
    <phoneticPr fontId="6" type="noConversion"/>
  </si>
  <si>
    <t>[등록]
목록 화면에서 '신규'버튼 클릭.</t>
    <phoneticPr fontId="6" type="noConversion"/>
  </si>
  <si>
    <t>B/L등록 화면으로 이동</t>
    <phoneticPr fontId="6" type="noConversion"/>
  </si>
  <si>
    <t>ID : FSARIR0001
     (아리랑 국제물류)</t>
    <phoneticPr fontId="6" type="noConversion"/>
  </si>
  <si>
    <t>해상B/L조회
(Main TAB)</t>
    <phoneticPr fontId="6" type="noConversion"/>
  </si>
  <si>
    <t>[등록]
MAIN  TAB 정보 등록</t>
    <phoneticPr fontId="6" type="noConversion"/>
  </si>
  <si>
    <t xml:space="preserve">수출입구분(수출)
업무유형
M BL NO
H BL NO
SHIPPIER
CONSIGNEE
NOTIFY
LINE
CALL SIGN
PORT OF LOADING
PORT OF DISCHARGE
FINAL DESTINATION
VESSEL NAME
VOYAGE NO
ONBOARD DATE
ETD / ETA
</t>
    <phoneticPr fontId="6" type="noConversion"/>
  </si>
  <si>
    <t>수출입구분 (수출)
업무유형(CONSOL)</t>
    <phoneticPr fontId="6" type="noConversion"/>
  </si>
  <si>
    <t>해상B/L조회
(Cargo TAB)</t>
    <phoneticPr fontId="6" type="noConversion"/>
  </si>
  <si>
    <t>[등록]
CARGO TAB 정보 등록</t>
    <phoneticPr fontId="6" type="noConversion"/>
  </si>
  <si>
    <t xml:space="preserve">컨테이너 규격(유형)
(LCL/FCL/BULK)
Package
Gross Weight
Measurerment
R.Ton
Container 20(갯수입력) 
Container 40(갯수입력)
Container No
Container 규격
Seal No 1
Package
Unit
G.Weight
Measurement
</t>
    <phoneticPr fontId="6" type="noConversion"/>
  </si>
  <si>
    <t>컨테이너 규격(유형)
Ex)
(LCL/FCL/BULK)
Container 20(갯수입력)
Container 40(갯수입력)</t>
    <phoneticPr fontId="6" type="noConversion"/>
  </si>
  <si>
    <t>해상B/L조회
(Other TAB)</t>
    <phoneticPr fontId="6" type="noConversion"/>
  </si>
  <si>
    <t>[등록]
OTHER TAB 정보 등록</t>
    <phoneticPr fontId="6" type="noConversion"/>
  </si>
  <si>
    <t>MRN NO
MSN
HSN</t>
    <phoneticPr fontId="6" type="noConversion"/>
  </si>
  <si>
    <t>[등록]
TAB 정보를 등록 완료후 '저장'버튼 클릭.</t>
    <phoneticPr fontId="6" type="noConversion"/>
  </si>
  <si>
    <t>목록화면으로 이동, 저장된 B/L등록건의 정보를 목록에서 표시 처리</t>
    <phoneticPr fontId="6" type="noConversion"/>
  </si>
  <si>
    <t>Shipping&gt;수입B/L관리&gt;항공AWB조회</t>
    <phoneticPr fontId="6" type="noConversion"/>
  </si>
  <si>
    <t>항공AWB조회</t>
    <phoneticPr fontId="6" type="noConversion"/>
  </si>
  <si>
    <t>AWB등록 화면으로 이동</t>
    <phoneticPr fontId="6" type="noConversion"/>
  </si>
  <si>
    <t>ID : FFRICS0001
     (린코)</t>
    <phoneticPr fontId="6" type="noConversion"/>
  </si>
  <si>
    <t>항공AWB조회
(Main TAB)</t>
    <phoneticPr fontId="6" type="noConversion"/>
  </si>
  <si>
    <t xml:space="preserve">수출입구분
업무유형
M AWB NO
H AWB NO
SHIPPIER
CONSIGNEE
NOTIFY
AIR PORT OF DEPARTURE
AIR PORT OF ARRIVAL
TO / BY
FLIGHT NO
REQUEST NO
DEPARTURE DATE
ARRIVAL DATE
REQUEST DATE
</t>
    <phoneticPr fontId="6" type="noConversion"/>
  </si>
  <si>
    <t>수출입구분 (수입)
업무유형(CONSOL)
TO (출발공항코드)
Ex) ICN
BY (항공사 2 코드)
Ex) OZ, KE</t>
    <phoneticPr fontId="6" type="noConversion"/>
  </si>
  <si>
    <t>항공AWB조회
(Cargo TAB)</t>
    <phoneticPr fontId="6" type="noConversion"/>
  </si>
  <si>
    <t>No of Piecces
포장종류
Gross Weight 
Exceuted on(Date)
At(Place)</t>
    <phoneticPr fontId="6" type="noConversion"/>
  </si>
  <si>
    <t>Exceuted on(Date)
(AWB 발행일자)
At(Place)
(AWB 발행장소)</t>
    <phoneticPr fontId="6" type="noConversion"/>
  </si>
  <si>
    <t>항공AWB조회
(Other TAB)</t>
    <phoneticPr fontId="6" type="noConversion"/>
  </si>
  <si>
    <t>목록화면으로 이동, 저장된 AWB등록건의 정보를 목록에서 표시 처리</t>
    <phoneticPr fontId="6" type="noConversion"/>
  </si>
  <si>
    <t>항공AWB조회
(Other TAB)</t>
    <phoneticPr fontId="6" type="noConversion"/>
  </si>
  <si>
    <t>추적 모니터링을 위한 수출입/운송 업무화면 정보(최소값)</t>
    <phoneticPr fontId="18" type="noConversion"/>
  </si>
  <si>
    <t>부킹번호</t>
    <phoneticPr fontId="6" type="noConversion"/>
  </si>
  <si>
    <t>수출입</t>
    <phoneticPr fontId="6" type="noConversion"/>
  </si>
  <si>
    <t>운송</t>
    <phoneticPr fontId="6" type="noConversion"/>
  </si>
  <si>
    <t>배차등록</t>
    <phoneticPr fontId="6" type="noConversion"/>
  </si>
  <si>
    <t>CASE 1</t>
  </si>
  <si>
    <t>BL TYPE</t>
  </si>
  <si>
    <t>SIMPLE</t>
  </si>
  <si>
    <t>선사코드</t>
  </si>
  <si>
    <t>SMLM</t>
  </si>
  <si>
    <t>M B/L NO</t>
  </si>
  <si>
    <t>SMLMSEL2J1252700</t>
  </si>
  <si>
    <t>KRPUS</t>
  </si>
  <si>
    <t>VNHPH</t>
  </si>
  <si>
    <t>항목명</t>
    <phoneticPr fontId="6" type="noConversion"/>
  </si>
  <si>
    <t>값</t>
    <phoneticPr fontId="6" type="noConversion"/>
  </si>
  <si>
    <t>기타</t>
    <phoneticPr fontId="6" type="noConversion"/>
  </si>
  <si>
    <t>M 부킹번호</t>
  </si>
  <si>
    <t>SEL2J1252700</t>
  </si>
  <si>
    <t>H B/L NO</t>
  </si>
  <si>
    <t>SIMPLE 인 경우 M B/L 과 동일 처리</t>
  </si>
  <si>
    <t>MRN</t>
  </si>
  <si>
    <t>22SMLME107E</t>
  </si>
  <si>
    <t>VESSEL NAM</t>
  </si>
  <si>
    <t>SM TOKYO</t>
  </si>
  <si>
    <t>화물관리번호</t>
  </si>
  <si>
    <t>화물관리번호</t>
    <phoneticPr fontId="6" type="noConversion"/>
  </si>
  <si>
    <t>선적항</t>
    <phoneticPr fontId="6" type="noConversion"/>
  </si>
  <si>
    <t>양하항</t>
    <phoneticPr fontId="6" type="noConversion"/>
  </si>
  <si>
    <t>도착지</t>
    <phoneticPr fontId="6" type="noConversion"/>
  </si>
  <si>
    <t>POL</t>
    <phoneticPr fontId="6" type="noConversion"/>
  </si>
  <si>
    <t>POD</t>
    <phoneticPr fontId="6" type="noConversion"/>
  </si>
  <si>
    <t>PLD</t>
    <phoneticPr fontId="6" type="noConversion"/>
  </si>
  <si>
    <t>CALLSIGN</t>
  </si>
  <si>
    <t>호출부호</t>
  </si>
  <si>
    <t>항목설명</t>
    <phoneticPr fontId="6" type="noConversion"/>
  </si>
  <si>
    <t>D7DO</t>
  </si>
  <si>
    <t>VOYAGE NO</t>
  </si>
  <si>
    <t>항차</t>
    <phoneticPr fontId="6" type="noConversion"/>
  </si>
  <si>
    <t>2213W</t>
  </si>
  <si>
    <t>ETD</t>
  </si>
  <si>
    <t>출항일시</t>
  </si>
  <si>
    <t>20220803 00:00</t>
  </si>
  <si>
    <t>운항정보</t>
    <phoneticPr fontId="6" type="noConversion"/>
  </si>
  <si>
    <t>경유항</t>
    <phoneticPr fontId="6" type="noConversion"/>
  </si>
  <si>
    <t>VNHP</t>
  </si>
  <si>
    <t>2022-08-07-19:00
2022-08-08-12:30</t>
    <phoneticPr fontId="6" type="noConversion"/>
  </si>
  <si>
    <t>CNXMN</t>
  </si>
  <si>
    <t>KRPUS</t>
    <phoneticPr fontId="6" type="noConversion"/>
  </si>
  <si>
    <t>2022-08-10-13:00
2022-08-11-03:30</t>
    <phoneticPr fontId="6" type="noConversion"/>
  </si>
  <si>
    <t>KRINC</t>
  </si>
  <si>
    <t>2022-08-11-07:00
2022-08-11-17:00</t>
    <phoneticPr fontId="6" type="noConversion"/>
  </si>
  <si>
    <t>KRKAN</t>
  </si>
  <si>
    <t>2022-08-12-18:30
2022-08-13-06:00</t>
    <phoneticPr fontId="6" type="noConversion"/>
  </si>
  <si>
    <t>컨테이너 정보</t>
  </si>
  <si>
    <t>BMOU2745329</t>
  </si>
  <si>
    <t>22GP, 봉인번호 : SM503583</t>
  </si>
  <si>
    <t>CAIU6601490</t>
  </si>
  <si>
    <t>4344622400947X</t>
  </si>
  <si>
    <t>CASE 2</t>
  </si>
  <si>
    <t>BL TYPE</t>
    <phoneticPr fontId="6" type="noConversion"/>
  </si>
  <si>
    <t>*포워더 및 화주가 등록시</t>
    <phoneticPr fontId="6" type="noConversion"/>
  </si>
  <si>
    <t>*SIMPLE 인 경우 M B/L 과 동일 처리</t>
    <phoneticPr fontId="6" type="noConversion"/>
  </si>
  <si>
    <t>*포워더 및 화주가 등록시</t>
    <phoneticPr fontId="6" type="noConversion"/>
  </si>
  <si>
    <t>항구(부산)</t>
  </si>
  <si>
    <t>항구(베트남,하이퐁)</t>
  </si>
  <si>
    <t>항구(중국,샤먼)</t>
  </si>
  <si>
    <t>항구(인천)</t>
  </si>
  <si>
    <t>항구(광양)</t>
  </si>
  <si>
    <t>포워더</t>
  </si>
  <si>
    <t>ANBG</t>
  </si>
  <si>
    <t>ONEY</t>
  </si>
  <si>
    <t>ONEYSELCA1341900</t>
  </si>
  <si>
    <t>SELCA1341900</t>
  </si>
  <si>
    <t>TCKU3371860</t>
  </si>
  <si>
    <t>TCLU3425516</t>
  </si>
  <si>
    <t>TGBU3251999</t>
  </si>
  <si>
    <t>22ONEY0962E</t>
  </si>
  <si>
    <t>CONCERTO</t>
  </si>
  <si>
    <t>V7A4535</t>
  </si>
  <si>
    <t>0023S</t>
  </si>
  <si>
    <t>20220808 15:00</t>
  </si>
  <si>
    <t>TWKEL</t>
  </si>
  <si>
    <t>2022-08-11 01:00
2022-08-11 08:00</t>
    <phoneticPr fontId="6" type="noConversion"/>
  </si>
  <si>
    <t>항구(대만, 지룽)</t>
    <phoneticPr fontId="6" type="noConversion"/>
  </si>
  <si>
    <t>TWKHH</t>
  </si>
  <si>
    <t>항구(대만, 가오슝)</t>
    <phoneticPr fontId="6" type="noConversion"/>
  </si>
  <si>
    <t>2022-08-14 :08:00
2022-08-17 05:00</t>
    <phoneticPr fontId="6" type="noConversion"/>
  </si>
  <si>
    <t>2022-08-20 04:00
2022-08-20 10:00</t>
    <phoneticPr fontId="6" type="noConversion"/>
  </si>
  <si>
    <t>2022-08-12 01:00
2022-08-12 10:00</t>
    <phoneticPr fontId="6" type="noConversion"/>
  </si>
  <si>
    <t>JPTYO</t>
  </si>
  <si>
    <t>항구(일본, 도쿄)</t>
    <phoneticPr fontId="6" type="noConversion"/>
  </si>
  <si>
    <t>2022-08-24 05:00
2022-08-24 21:00</t>
    <phoneticPr fontId="6" type="noConversion"/>
  </si>
  <si>
    <t>JPSMZ</t>
  </si>
  <si>
    <t>항구(일본, 시미즈)</t>
    <phoneticPr fontId="6" type="noConversion"/>
  </si>
  <si>
    <t>2022-08-25 13:00
2022-08-25 20:00</t>
    <phoneticPr fontId="6" type="noConversion"/>
  </si>
  <si>
    <t>JPNGO</t>
  </si>
  <si>
    <t>항구(일본, 나고야)</t>
    <phoneticPr fontId="6" type="noConversion"/>
  </si>
  <si>
    <t>2022-08-26 05:00
2022-08-26 14:00</t>
    <phoneticPr fontId="6" type="noConversion"/>
  </si>
  <si>
    <t>JPUKB</t>
  </si>
  <si>
    <t>2022-08-27 05:00
2022-08-27 18:00</t>
    <phoneticPr fontId="6" type="noConversion"/>
  </si>
  <si>
    <t>항구(일본, 고베)</t>
    <phoneticPr fontId="6" type="noConversion"/>
  </si>
  <si>
    <t>ANBHPH22080051</t>
  </si>
  <si>
    <t>4161922703596X</t>
  </si>
  <si>
    <t>CASE 3</t>
    <phoneticPr fontId="6" type="noConversion"/>
  </si>
  <si>
    <t>CONSOL 건 LCL 건</t>
    <phoneticPr fontId="6" type="noConversion"/>
  </si>
  <si>
    <t>MAXP</t>
  </si>
  <si>
    <t>ONEYSELCA3460600</t>
  </si>
  <si>
    <t>TRIST</t>
  </si>
  <si>
    <t>항구(터키, 이스탄불)</t>
    <phoneticPr fontId="6" type="noConversion"/>
  </si>
  <si>
    <t>SELCA3460600</t>
  </si>
  <si>
    <t>NYKU0830100</t>
  </si>
  <si>
    <t>22GP, 봉인번호 : KRAM07745</t>
    <phoneticPr fontId="6" type="noConversion"/>
  </si>
  <si>
    <t>22GP, 봉인번호 : KRAM02375</t>
    <phoneticPr fontId="6" type="noConversion"/>
  </si>
  <si>
    <t>22GP, 봉인번호 : KRAM02320</t>
    <phoneticPr fontId="6" type="noConversion"/>
  </si>
  <si>
    <t>22GP, 봉인번호 : SM516803</t>
    <phoneticPr fontId="6" type="noConversion"/>
  </si>
  <si>
    <t>22HLCU4901E</t>
  </si>
  <si>
    <t>LUDWIGSHAFEN EXPR</t>
  </si>
  <si>
    <t>DDOR2</t>
  </si>
  <si>
    <t>039W</t>
  </si>
  <si>
    <t>20220806 00:00</t>
  </si>
  <si>
    <t>2208MT00301</t>
  </si>
  <si>
    <t>수출신고번호별
수출이행내역</t>
    <phoneticPr fontId="6" type="noConversion"/>
  </si>
  <si>
    <t>4278422070562X</t>
  </si>
  <si>
    <t>2208MT00302</t>
  </si>
  <si>
    <t>1316322000534X</t>
  </si>
  <si>
    <t>2208MT00303</t>
  </si>
  <si>
    <t>4438622016600X
4438622016599X</t>
    <phoneticPr fontId="6" type="noConversion"/>
  </si>
  <si>
    <t>2208MT00304</t>
  </si>
  <si>
    <t>4438622016710X
4438622016601X</t>
    <phoneticPr fontId="6" type="noConversion"/>
  </si>
  <si>
    <t>2208MT00305</t>
  </si>
  <si>
    <t>8078622010089X</t>
  </si>
  <si>
    <t>2208MT00306</t>
  </si>
  <si>
    <t>1349322002715X</t>
  </si>
  <si>
    <t>NGOIST269945VT</t>
  </si>
  <si>
    <t>*환적인 경우 수입화물진행정보</t>
    <phoneticPr fontId="6" type="noConversion"/>
  </si>
  <si>
    <t>22HASL1566I20400001</t>
  </si>
  <si>
    <t>UKBIST269862VT</t>
  </si>
  <si>
    <t>22NSSLG070I20140001</t>
  </si>
  <si>
    <t>UKBIST269899VT</t>
  </si>
  <si>
    <t>22NSSLG070I20140002</t>
  </si>
  <si>
    <t>CASE 4</t>
    <phoneticPr fontId="6" type="noConversion"/>
  </si>
  <si>
    <t>*포워더 및 화주가 등록시</t>
    <phoneticPr fontId="6" type="noConversion"/>
  </si>
  <si>
    <t>ONEYPUSC06215501</t>
  </si>
  <si>
    <t>DEHAM</t>
  </si>
  <si>
    <t>POT</t>
    <phoneticPr fontId="6" type="noConversion"/>
  </si>
  <si>
    <t>환적항</t>
  </si>
  <si>
    <t>항구(독일, 함부르크)</t>
    <phoneticPr fontId="6" type="noConversion"/>
  </si>
  <si>
    <t>PUSC06215501</t>
  </si>
  <si>
    <t>BEAU5414037</t>
  </si>
  <si>
    <t>NYKU4995561</t>
    <phoneticPr fontId="6" type="noConversion"/>
  </si>
  <si>
    <t>NYKU5806071</t>
  </si>
  <si>
    <t>ONEU0299161</t>
  </si>
  <si>
    <t>TCLU6464809</t>
  </si>
  <si>
    <t>TEMU8824645</t>
  </si>
  <si>
    <t>45GP, 봉인번호 : KRAK31719</t>
    <phoneticPr fontId="6" type="noConversion"/>
  </si>
  <si>
    <t>4510, 봉인번호 : KRAK62839</t>
    <phoneticPr fontId="6" type="noConversion"/>
  </si>
  <si>
    <t>4510, 봉인번호 : KRAK62901</t>
    <phoneticPr fontId="6" type="noConversion"/>
  </si>
  <si>
    <t>4510, 봉인번호 : KRAJ69290</t>
    <phoneticPr fontId="6" type="noConversion"/>
  </si>
  <si>
    <t>4510, 봉인번호 : KRAB29494</t>
    <phoneticPr fontId="6" type="noConversion"/>
  </si>
  <si>
    <t>4510, 봉인번호 : KRAK49519</t>
    <phoneticPr fontId="6" type="noConversion"/>
  </si>
  <si>
    <t>4510, 봉인번호 : KRAK67941</t>
    <phoneticPr fontId="6" type="noConversion"/>
  </si>
  <si>
    <t>4064022061518X</t>
  </si>
  <si>
    <t>22HLCU4724E</t>
  </si>
  <si>
    <t>AL DHAIL</t>
  </si>
  <si>
    <t>V7HL8</t>
  </si>
  <si>
    <t>023W</t>
  </si>
  <si>
    <t>20220713 16:55</t>
  </si>
  <si>
    <t>CNSHA</t>
  </si>
  <si>
    <t>2022-07-15 10:00
2022-07-16 15:30</t>
    <phoneticPr fontId="6" type="noConversion"/>
  </si>
  <si>
    <t>2022-08-14 :08:00
2022-08-17 05:00</t>
    <phoneticPr fontId="6" type="noConversion"/>
  </si>
  <si>
    <t>CNSHK</t>
  </si>
  <si>
    <t>2022-07-20 11:00
2022-07-21 15:35</t>
    <phoneticPr fontId="6" type="noConversion"/>
  </si>
  <si>
    <t>SGSIN</t>
  </si>
  <si>
    <t>2022-07-25 06:25
2022-07-26 15:35</t>
    <phoneticPr fontId="6" type="noConversion"/>
  </si>
  <si>
    <t>항구(중국, 상하이)</t>
    <phoneticPr fontId="6" type="noConversion"/>
  </si>
  <si>
    <t>항구(싱가포르)</t>
    <phoneticPr fontId="6" type="noConversion"/>
  </si>
  <si>
    <t>운항정보 1</t>
    <phoneticPr fontId="6" type="noConversion"/>
  </si>
  <si>
    <t>HMM NURI</t>
  </si>
  <si>
    <t>D5YS9</t>
  </si>
  <si>
    <r>
      <t>운항정보 2</t>
    </r>
    <r>
      <rPr>
        <sz val="11"/>
        <color rgb="FFFF0000"/>
        <rFont val="돋움"/>
        <family val="3"/>
        <charset val="129"/>
      </rPr>
      <t xml:space="preserve">   *TWKHH 에서 환적</t>
    </r>
    <phoneticPr fontId="6" type="noConversion"/>
  </si>
  <si>
    <t>IMO</t>
  </si>
  <si>
    <t>006W</t>
  </si>
  <si>
    <t>POD</t>
    <phoneticPr fontId="6" type="noConversion"/>
  </si>
  <si>
    <t>도착항</t>
    <phoneticPr fontId="6" type="noConversion"/>
  </si>
  <si>
    <r>
      <t xml:space="preserve">항구(독일, 함부르크)
</t>
    </r>
    <r>
      <rPr>
        <sz val="11"/>
        <color rgb="FFFF0000"/>
        <rFont val="돋움"/>
        <family val="3"/>
        <charset val="129"/>
      </rPr>
      <t>*최종 도착항</t>
    </r>
    <phoneticPr fontId="6" type="noConversion"/>
  </si>
  <si>
    <t>CASE 5</t>
    <phoneticPr fontId="6" type="noConversion"/>
  </si>
  <si>
    <t>경유항</t>
    <phoneticPr fontId="6" type="noConversion"/>
  </si>
  <si>
    <t>*수출 위험물 부킹</t>
    <phoneticPr fontId="6" type="noConversion"/>
  </si>
  <si>
    <t>*환적항 CLL 체크 CLL POD 는 TWKHH 이며, BL 상의 POD 와 틀림 CLL 상의 POD 가 환적항임</t>
    <phoneticPr fontId="6" type="noConversion"/>
  </si>
  <si>
    <t>CONSOL, FCL</t>
    <phoneticPr fontId="6" type="noConversion"/>
  </si>
  <si>
    <t>CONSOL</t>
    <phoneticPr fontId="6" type="noConversion"/>
  </si>
  <si>
    <t>HDMU</t>
  </si>
  <si>
    <t>*포워더 및 화주가 등록시</t>
    <phoneticPr fontId="6" type="noConversion"/>
  </si>
  <si>
    <t>HDMUPUSA10434100</t>
  </si>
  <si>
    <t>THLCH</t>
  </si>
  <si>
    <t>PUSA10434100</t>
  </si>
  <si>
    <t>항구(태국, 람차방)</t>
    <phoneticPr fontId="6" type="noConversion"/>
  </si>
  <si>
    <t>*SIMPLE 인 경우 M B/L 과 동일 처리  ????</t>
    <phoneticPr fontId="6" type="noConversion"/>
  </si>
  <si>
    <t>22HDMUA408E</t>
  </si>
  <si>
    <t>INCEDA</t>
  </si>
  <si>
    <t>V7A2661</t>
  </si>
  <si>
    <t>0015S</t>
  </si>
  <si>
    <t>20220804 11:00</t>
  </si>
  <si>
    <t>*POL/POD 는 B/L 정보</t>
    <phoneticPr fontId="6" type="noConversion"/>
  </si>
  <si>
    <t>VNSGN</t>
  </si>
  <si>
    <t>2022-08-10-09:00
2022-08-10-21:30</t>
    <phoneticPr fontId="6" type="noConversion"/>
  </si>
  <si>
    <t>2022-08-12-21:30
2022-08-13-05:30</t>
    <phoneticPr fontId="6" type="noConversion"/>
  </si>
  <si>
    <t>2022-07-18 06:00
2022-07-19 12:00</t>
    <phoneticPr fontId="6" type="noConversion"/>
  </si>
  <si>
    <t>BMOU2858198</t>
  </si>
  <si>
    <t>FCIU5356210</t>
  </si>
  <si>
    <t>FCIU5536866</t>
  </si>
  <si>
    <t>KOCU2184670</t>
  </si>
  <si>
    <t>Data(해상수입)</t>
    <phoneticPr fontId="6" type="noConversion"/>
  </si>
  <si>
    <t>Data(해상수출)</t>
    <phoneticPr fontId="6" type="noConversion"/>
  </si>
  <si>
    <t>SMLMVAN2A0923400</t>
  </si>
  <si>
    <t>22SMLM0114I</t>
  </si>
  <si>
    <t>22SMLM0114I-0002</t>
    <phoneticPr fontId="6" type="noConversion"/>
  </si>
  <si>
    <t>KRBNP</t>
  </si>
  <si>
    <t>CAVAN</t>
  </si>
  <si>
    <t>항구(부산신항)</t>
    <phoneticPr fontId="6" type="noConversion"/>
  </si>
  <si>
    <t>항구(캐나다, 벤쿠버)</t>
    <phoneticPr fontId="6" type="noConversion"/>
  </si>
  <si>
    <t>KOTA LUKIS</t>
  </si>
  <si>
    <t>선명</t>
    <phoneticPr fontId="6" type="noConversion"/>
  </si>
  <si>
    <t>선명</t>
    <phoneticPr fontId="6" type="noConversion"/>
  </si>
  <si>
    <t>VRSN8</t>
  </si>
  <si>
    <t>2202W</t>
  </si>
  <si>
    <t>ETA</t>
    <phoneticPr fontId="6" type="noConversion"/>
  </si>
  <si>
    <t>USSEA</t>
  </si>
  <si>
    <t>2022-07-12 06:00
2022-07-13 04:00</t>
    <phoneticPr fontId="6" type="noConversion"/>
  </si>
  <si>
    <t>2022-07-15 00:01
2022-07-16 18:57</t>
    <phoneticPr fontId="6" type="noConversion"/>
  </si>
  <si>
    <t>USPDX</t>
  </si>
  <si>
    <t>2022-07-17 14:42
2022-07-19 19:00</t>
    <phoneticPr fontId="6" type="noConversion"/>
  </si>
  <si>
    <t>항구(미국, 시에틀)</t>
    <phoneticPr fontId="6" type="noConversion"/>
  </si>
  <si>
    <t>항구(캐나다, 벤쿠버)</t>
    <phoneticPr fontId="6" type="noConversion"/>
  </si>
  <si>
    <t>항구(미국, 포틀랜드)</t>
    <phoneticPr fontId="6" type="noConversion"/>
  </si>
  <si>
    <t>항구(부산)</t>
    <phoneticPr fontId="6" type="noConversion"/>
  </si>
  <si>
    <t>FCIU2624665</t>
  </si>
  <si>
    <t>SDCU2368442</t>
  </si>
  <si>
    <t>SMCU2003150</t>
  </si>
  <si>
    <t>SMCU2019114</t>
  </si>
  <si>
    <t>SMCU2030495</t>
  </si>
  <si>
    <t>SMCU2035352</t>
  </si>
  <si>
    <t>22GP, 봉인번호 : 103804</t>
    <phoneticPr fontId="6" type="noConversion"/>
  </si>
  <si>
    <t>22GP, 봉인번호 : 103819</t>
    <phoneticPr fontId="6" type="noConversion"/>
  </si>
  <si>
    <t>22GP, 봉인번호 : 103801</t>
    <phoneticPr fontId="6" type="noConversion"/>
  </si>
  <si>
    <t>22GP, 봉인번호 : 103805</t>
    <phoneticPr fontId="6" type="noConversion"/>
  </si>
  <si>
    <t>22GP, 봉인번호 : 103802</t>
    <phoneticPr fontId="6" type="noConversion"/>
  </si>
  <si>
    <t>화물통관진행정보
(관세청 API)</t>
    <phoneticPr fontId="6" type="noConversion"/>
  </si>
  <si>
    <t>22SMLM0114I-0002</t>
    <phoneticPr fontId="6" type="noConversion"/>
  </si>
  <si>
    <t>CONSOL FCL</t>
  </si>
  <si>
    <t>포워더 코드</t>
  </si>
  <si>
    <t>HDMUCGPA64044900</t>
  </si>
  <si>
    <t>BDCGP</t>
  </si>
  <si>
    <t>항구(방글라데시, 시타공)</t>
    <phoneticPr fontId="6" type="noConversion"/>
  </si>
  <si>
    <t>22HDMUA367I</t>
  </si>
  <si>
    <t>HYUNDAI HONGKONG</t>
  </si>
  <si>
    <t>5BZL3</t>
  </si>
  <si>
    <t>0136E</t>
  </si>
  <si>
    <t>DFSU6199824</t>
  </si>
  <si>
    <t>22GP, 봉인번호 : 103813</t>
    <phoneticPr fontId="6" type="noConversion"/>
  </si>
  <si>
    <t>22HDMUA367I-0140-0001</t>
    <phoneticPr fontId="6" type="noConversion"/>
  </si>
  <si>
    <t>CASE 3</t>
    <phoneticPr fontId="6" type="noConversion"/>
  </si>
  <si>
    <t>CONSOL  LCL</t>
  </si>
  <si>
    <t>HASL</t>
  </si>
  <si>
    <t>HASLS11220700423</t>
  </si>
  <si>
    <t>IDJKT</t>
  </si>
  <si>
    <t>22HDMUA384I</t>
  </si>
  <si>
    <t>HYUNDAI SUPREME</t>
  </si>
  <si>
    <t>V7QL3</t>
  </si>
  <si>
    <t>0124N</t>
  </si>
  <si>
    <t>SKLU0748458</t>
  </si>
  <si>
    <t>45GP, 봉인번호 : 210321726</t>
    <phoneticPr fontId="6" type="noConversion"/>
  </si>
  <si>
    <t>(ETD/ETA)</t>
    <phoneticPr fontId="6" type="noConversion"/>
  </si>
  <si>
    <t>2022-07-12 06:00
2022-07-13 04:00</t>
    <phoneticPr fontId="6" type="noConversion"/>
  </si>
  <si>
    <t>2022-07-15 00:01
2022-07-16 18:57</t>
    <phoneticPr fontId="6" type="noConversion"/>
  </si>
  <si>
    <t>(ETD/ETA)</t>
    <phoneticPr fontId="6" type="noConversion"/>
  </si>
  <si>
    <t>(출발예정시간,도착예정시간)</t>
    <phoneticPr fontId="6" type="noConversion"/>
  </si>
  <si>
    <t>(ETD/ETA)</t>
    <phoneticPr fontId="6" type="noConversion"/>
  </si>
  <si>
    <t>COIN22000627</t>
  </si>
  <si>
    <t>CO-LOAD</t>
  </si>
  <si>
    <t>KECI (씨제이대한통운)</t>
  </si>
  <si>
    <t>22HDMUA384I-2031-0001</t>
    <phoneticPr fontId="6" type="noConversion"/>
  </si>
  <si>
    <t>CM122JKTDLC1573</t>
  </si>
  <si>
    <t>22HDMUA384I-2031-0002</t>
    <phoneticPr fontId="6" type="noConversion"/>
  </si>
  <si>
    <t>CM122JKTBUN1575</t>
  </si>
  <si>
    <t>22HDMUA384I-2031-0003</t>
    <phoneticPr fontId="6" type="noConversion"/>
  </si>
  <si>
    <t>CASE 4</t>
    <phoneticPr fontId="6" type="noConversion"/>
  </si>
  <si>
    <t>*환적건 (해상)</t>
    <phoneticPr fontId="6" type="noConversion"/>
  </si>
  <si>
    <t>ONEYRICCEE635400</t>
  </si>
  <si>
    <t>USTIW</t>
  </si>
  <si>
    <t>22YMLU0116I</t>
  </si>
  <si>
    <t>YM UPWARD</t>
  </si>
  <si>
    <t>A8OR6</t>
  </si>
  <si>
    <t>076W</t>
  </si>
  <si>
    <t>도착예정시간</t>
  </si>
  <si>
    <t>도착예정시간</t>
    <phoneticPr fontId="6" type="noConversion"/>
  </si>
  <si>
    <t>TCLU6333985</t>
  </si>
  <si>
    <t>22GP, 봉인번호 : HAS1340793</t>
    <phoneticPr fontId="6" type="noConversion"/>
  </si>
  <si>
    <t>45GP, 봉인번호 : 304866</t>
    <phoneticPr fontId="6" type="noConversion"/>
  </si>
  <si>
    <t>LAXBUSC25032</t>
  </si>
  <si>
    <t>*환적 해상</t>
    <phoneticPr fontId="6" type="noConversion"/>
  </si>
  <si>
    <t>22YMLU0116I-5057-0001</t>
    <phoneticPr fontId="6" type="noConversion"/>
  </si>
  <si>
    <t>AWE8626140</t>
  </si>
  <si>
    <t>NTIX</t>
  </si>
  <si>
    <t>22YMLU0116I-5057-0002</t>
    <phoneticPr fontId="6" type="noConversion"/>
  </si>
  <si>
    <t>340340681446</t>
  </si>
  <si>
    <t>KWEK</t>
  </si>
  <si>
    <t>22YMLU0116I-5057-0003</t>
    <phoneticPr fontId="6" type="noConversion"/>
  </si>
  <si>
    <t>340340681450</t>
  </si>
  <si>
    <t>22YMLU0116I-5057-0004</t>
    <phoneticPr fontId="6" type="noConversion"/>
  </si>
  <si>
    <t>22YMLU0116I-5057-0005</t>
    <phoneticPr fontId="6" type="noConversion"/>
  </si>
  <si>
    <t>340340681461</t>
  </si>
  <si>
    <t>340340682010</t>
  </si>
  <si>
    <t>22YMLU0116I-5057-0006</t>
    <phoneticPr fontId="6" type="noConversion"/>
  </si>
  <si>
    <t>340340682021</t>
  </si>
  <si>
    <t>340340682032</t>
  </si>
  <si>
    <t>340340683616</t>
  </si>
  <si>
    <t>340340683631</t>
  </si>
  <si>
    <t>340340683642</t>
  </si>
  <si>
    <t>LAXKOBD81659</t>
  </si>
  <si>
    <t>LAXNGAD10997</t>
  </si>
  <si>
    <t>LAXOSAC12539</t>
  </si>
  <si>
    <t>22YMLU0116I-5057-0007</t>
    <phoneticPr fontId="6" type="noConversion"/>
  </si>
  <si>
    <t>22YMLU0116I-5057-0008</t>
    <phoneticPr fontId="6" type="noConversion"/>
  </si>
  <si>
    <t>22YMLU0116I-5057-0009</t>
    <phoneticPr fontId="6" type="noConversion"/>
  </si>
  <si>
    <t>22YMLU0116I-5057-0010</t>
    <phoneticPr fontId="6" type="noConversion"/>
  </si>
  <si>
    <t>22YMLU0116I-5057-0011</t>
    <phoneticPr fontId="6" type="noConversion"/>
  </si>
  <si>
    <t>22YMLU0116I-5057-0012</t>
    <phoneticPr fontId="6" type="noConversion"/>
  </si>
  <si>
    <t>22YMLU0116I-5057-0013</t>
    <phoneticPr fontId="6" type="noConversion"/>
  </si>
  <si>
    <t>22YMLU0116I-5057-0014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</si>
</sst>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_);[Red]\(0\)"/>
  </numFmts>
  <fonts count="28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b/>
      <sz val="11"/>
      <name val="돋움"/>
      <family val="3"/>
      <charset val="129"/>
    </font>
    <font>
      <b/>
      <sz val="14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D8D8D8"/>
        <bgColor rgb="FF000000"/>
      </patternFill>
    </fill>
    <fill>
      <patternFill patternType="solid">
        <fgColor theme="1" tint="0.249977111117893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8">
    <xf numFmtId="0" fontId="0" fillId="0" borderId="0"/>
    <xf numFmtId="0" fontId="7" fillId="0" borderId="0"/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115">
    <xf numFmtId="0" fontId="0" fillId="0" borderId="0" xfId="0"/>
    <xf numFmtId="0" fontId="10" fillId="0" borderId="0" xfId="0" applyFont="1" applyAlignment="1">
      <alignment horizontal="center" vertical="center"/>
    </xf>
    <xf numFmtId="9" fontId="11" fillId="0" borderId="1" xfId="3" applyFont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vertical="center"/>
    </xf>
    <xf numFmtId="0" fontId="10" fillId="0" borderId="0" xfId="5" applyFont="1">
      <alignment vertical="center"/>
    </xf>
    <xf numFmtId="0" fontId="10" fillId="0" borderId="0" xfId="5" applyFont="1" applyAlignment="1">
      <alignment horizontal="center" vertical="center"/>
    </xf>
    <xf numFmtId="14" fontId="10" fillId="0" borderId="0" xfId="5" applyNumberFormat="1" applyFont="1" applyAlignment="1">
      <alignment horizontal="center" vertical="center"/>
    </xf>
    <xf numFmtId="0" fontId="10" fillId="0" borderId="0" xfId="5" applyFont="1" applyAlignment="1">
      <alignment horizontal="left" vertical="center"/>
    </xf>
    <xf numFmtId="0" fontId="11" fillId="0" borderId="1" xfId="5" applyFont="1" applyBorder="1" applyAlignment="1">
      <alignment vertical="center"/>
    </xf>
    <xf numFmtId="0" fontId="11" fillId="0" borderId="1" xfId="5" applyFont="1" applyBorder="1" applyAlignment="1">
      <alignment horizontal="center" vertical="center"/>
    </xf>
    <xf numFmtId="0" fontId="10" fillId="0" borderId="1" xfId="5" quotePrefix="1" applyFont="1" applyBorder="1" applyAlignment="1">
      <alignment horizontal="center" vertical="center"/>
    </xf>
    <xf numFmtId="0" fontId="12" fillId="0" borderId="1" xfId="5" applyFont="1" applyFill="1" applyBorder="1" applyAlignment="1">
      <alignment vertical="center" wrapText="1"/>
    </xf>
    <xf numFmtId="0" fontId="12" fillId="0" borderId="1" xfId="5" applyFont="1" applyFill="1" applyBorder="1" applyAlignment="1">
      <alignment horizontal="left" vertical="center" wrapText="1"/>
    </xf>
    <xf numFmtId="176" fontId="12" fillId="0" borderId="1" xfId="5" quotePrefix="1" applyNumberFormat="1" applyFont="1" applyFill="1" applyBorder="1" applyAlignment="1">
      <alignment horizontal="center" vertical="center"/>
    </xf>
    <xf numFmtId="0" fontId="13" fillId="2" borderId="12" xfId="5" applyFont="1" applyFill="1" applyBorder="1" applyAlignment="1">
      <alignment horizontal="center" vertical="center" wrapText="1"/>
    </xf>
    <xf numFmtId="0" fontId="13" fillId="2" borderId="11" xfId="5" applyFont="1" applyFill="1" applyBorder="1" applyAlignment="1">
      <alignment horizontal="center" vertical="center" wrapText="1"/>
    </xf>
    <xf numFmtId="0" fontId="13" fillId="2" borderId="10" xfId="5" applyFont="1" applyFill="1" applyBorder="1" applyAlignment="1">
      <alignment horizontal="center" vertical="center" wrapText="1"/>
    </xf>
    <xf numFmtId="0" fontId="14" fillId="2" borderId="12" xfId="5" applyFont="1" applyFill="1" applyBorder="1" applyAlignment="1">
      <alignment horizontal="center" vertical="center"/>
    </xf>
    <xf numFmtId="0" fontId="14" fillId="2" borderId="10" xfId="5" applyFont="1" applyFill="1" applyBorder="1" applyAlignment="1">
      <alignment horizontal="center" vertical="center"/>
    </xf>
    <xf numFmtId="0" fontId="15" fillId="0" borderId="1" xfId="5" applyFont="1" applyBorder="1" applyAlignment="1">
      <alignment horizontal="center" vertical="center" wrapText="1"/>
    </xf>
    <xf numFmtId="14" fontId="15" fillId="0" borderId="1" xfId="5" applyNumberFormat="1" applyFont="1" applyBorder="1" applyAlignment="1">
      <alignment horizontal="center" vertical="center" wrapText="1"/>
    </xf>
    <xf numFmtId="0" fontId="13" fillId="2" borderId="1" xfId="5" applyFont="1" applyFill="1" applyBorder="1" applyAlignment="1">
      <alignment horizontal="center" vertical="center" wrapText="1"/>
    </xf>
    <xf numFmtId="0" fontId="9" fillId="0" borderId="1" xfId="5" quotePrefix="1" applyFont="1" applyBorder="1" applyAlignment="1">
      <alignment horizontal="center" vertical="center"/>
    </xf>
    <xf numFmtId="14" fontId="16" fillId="3" borderId="1" xfId="5" applyNumberFormat="1" applyFont="1" applyFill="1" applyBorder="1" applyAlignment="1">
      <alignment horizontal="center" vertical="center" wrapText="1"/>
    </xf>
    <xf numFmtId="0" fontId="13" fillId="2" borderId="2" xfId="5" applyFont="1" applyFill="1" applyBorder="1" applyAlignment="1">
      <alignment horizontal="center" vertical="center" wrapText="1"/>
    </xf>
    <xf numFmtId="0" fontId="9" fillId="0" borderId="0" xfId="6" applyFont="1" applyAlignment="1">
      <alignment horizontal="center" vertical="center"/>
    </xf>
    <xf numFmtId="14" fontId="9" fillId="0" borderId="0" xfId="6" applyNumberFormat="1" applyFont="1" applyAlignment="1">
      <alignment horizontal="center" vertical="center"/>
    </xf>
    <xf numFmtId="0" fontId="9" fillId="0" borderId="0" xfId="6" applyFont="1">
      <alignment vertical="center"/>
    </xf>
    <xf numFmtId="0" fontId="17" fillId="2" borderId="1" xfId="6" applyFont="1" applyFill="1" applyBorder="1" applyAlignment="1">
      <alignment horizontal="center" vertical="center" wrapText="1"/>
    </xf>
    <xf numFmtId="0" fontId="9" fillId="0" borderId="0" xfId="6" applyFont="1" applyBorder="1" applyAlignment="1">
      <alignment horizontal="center" vertical="center"/>
    </xf>
    <xf numFmtId="0" fontId="17" fillId="5" borderId="1" xfId="6" applyFont="1" applyFill="1" applyBorder="1" applyAlignment="1">
      <alignment horizontal="center" vertical="center" wrapText="1"/>
    </xf>
    <xf numFmtId="9" fontId="17" fillId="5" borderId="1" xfId="6" applyNumberFormat="1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6" applyNumberFormat="1" applyFont="1" applyBorder="1" applyAlignment="1">
      <alignment horizontal="center" vertical="center"/>
    </xf>
    <xf numFmtId="0" fontId="9" fillId="0" borderId="1" xfId="6" applyNumberFormat="1" applyFont="1" applyBorder="1" applyAlignment="1">
      <alignment horizontal="center" vertical="center"/>
    </xf>
    <xf numFmtId="9" fontId="9" fillId="0" borderId="1" xfId="6" applyNumberFormat="1" applyFont="1" applyBorder="1" applyAlignment="1">
      <alignment horizontal="center" vertical="center"/>
    </xf>
    <xf numFmtId="14" fontId="9" fillId="0" borderId="1" xfId="6" applyNumberFormat="1" applyFont="1" applyBorder="1" applyAlignment="1">
      <alignment vertical="center"/>
    </xf>
    <xf numFmtId="0" fontId="19" fillId="0" borderId="0" xfId="0" applyFont="1"/>
    <xf numFmtId="0" fontId="9" fillId="0" borderId="1" xfId="6" applyFont="1" applyBorder="1" applyAlignment="1">
      <alignment horizontal="left" vertical="center" wrapText="1"/>
    </xf>
    <xf numFmtId="0" fontId="11" fillId="0" borderId="1" xfId="5" applyFont="1" applyBorder="1" applyAlignment="1">
      <alignment vertical="center" wrapText="1"/>
    </xf>
    <xf numFmtId="0" fontId="13" fillId="2" borderId="2" xfId="5" applyFont="1" applyFill="1" applyBorder="1" applyAlignment="1">
      <alignment horizontal="center" vertical="center" wrapText="1"/>
    </xf>
    <xf numFmtId="0" fontId="11" fillId="0" borderId="1" xfId="5" applyFont="1" applyBorder="1" applyAlignment="1">
      <alignment vertical="center" wrapText="1"/>
    </xf>
    <xf numFmtId="0" fontId="12" fillId="0" borderId="1" xfId="0" applyFont="1" applyFill="1" applyBorder="1" applyAlignment="1">
      <alignment vertical="center" wrapText="1"/>
    </xf>
    <xf numFmtId="0" fontId="10" fillId="0" borderId="1" xfId="5" quotePrefix="1" applyFont="1" applyBorder="1" applyAlignment="1">
      <alignment horizontal="center" vertical="center" wrapText="1"/>
    </xf>
    <xf numFmtId="0" fontId="11" fillId="0" borderId="1" xfId="5" applyFont="1" applyBorder="1" applyAlignment="1">
      <alignment horizontal="center" vertical="center" wrapText="1"/>
    </xf>
    <xf numFmtId="0" fontId="10" fillId="0" borderId="0" xfId="5" applyFont="1" applyAlignment="1">
      <alignment horizontal="center" vertical="center" wrapText="1"/>
    </xf>
    <xf numFmtId="14" fontId="10" fillId="0" borderId="0" xfId="5" applyNumberFormat="1" applyFont="1" applyAlignment="1">
      <alignment horizontal="center" vertical="center" wrapText="1"/>
    </xf>
    <xf numFmtId="0" fontId="11" fillId="0" borderId="1" xfId="5" applyFont="1" applyBorder="1" applyAlignment="1">
      <alignment vertical="center" wrapText="1"/>
    </xf>
    <xf numFmtId="0" fontId="1" fillId="0" borderId="0" xfId="7">
      <alignment vertical="center"/>
    </xf>
    <xf numFmtId="0" fontId="21" fillId="7" borderId="1" xfId="7" applyFont="1" applyFill="1" applyBorder="1" applyAlignment="1">
      <alignment horizontal="center" vertical="center"/>
    </xf>
    <xf numFmtId="0" fontId="22" fillId="0" borderId="1" xfId="7" applyFont="1" applyBorder="1">
      <alignment vertical="center"/>
    </xf>
    <xf numFmtId="0" fontId="9" fillId="8" borderId="1" xfId="6" applyFont="1" applyFill="1" applyBorder="1" applyAlignment="1">
      <alignment horizontal="left" vertical="center"/>
    </xf>
    <xf numFmtId="0" fontId="17" fillId="0" borderId="1" xfId="6" applyFont="1" applyFill="1" applyBorder="1" applyAlignment="1">
      <alignment horizontal="center" vertical="center" wrapText="1"/>
    </xf>
    <xf numFmtId="0" fontId="23" fillId="0" borderId="0" xfId="7" applyFont="1">
      <alignment vertical="center"/>
    </xf>
    <xf numFmtId="0" fontId="21" fillId="6" borderId="1" xfId="7" applyFont="1" applyFill="1" applyBorder="1" applyAlignment="1">
      <alignment horizontal="center" vertical="center"/>
    </xf>
    <xf numFmtId="0" fontId="22" fillId="0" borderId="0" xfId="7" applyFont="1" applyBorder="1">
      <alignment vertical="center"/>
    </xf>
    <xf numFmtId="0" fontId="24" fillId="0" borderId="1" xfId="7" applyFont="1" applyBorder="1">
      <alignment vertical="center"/>
    </xf>
    <xf numFmtId="0" fontId="21" fillId="9" borderId="1" xfId="7" applyFont="1" applyFill="1" applyBorder="1" applyAlignment="1">
      <alignment horizontal="center" vertical="center"/>
    </xf>
    <xf numFmtId="0" fontId="17" fillId="2" borderId="1" xfId="6" applyFont="1" applyFill="1" applyBorder="1" applyAlignment="1">
      <alignment horizontal="center" vertical="center" wrapText="1"/>
    </xf>
    <xf numFmtId="0" fontId="21" fillId="6" borderId="1" xfId="7" applyFont="1" applyFill="1" applyBorder="1" applyAlignment="1">
      <alignment horizontal="center" vertical="center"/>
    </xf>
    <xf numFmtId="0" fontId="11" fillId="0" borderId="2" xfId="5" applyFont="1" applyBorder="1" applyAlignment="1">
      <alignment horizontal="center" vertical="center" wrapText="1"/>
    </xf>
    <xf numFmtId="0" fontId="11" fillId="0" borderId="3" xfId="5" applyFont="1" applyBorder="1" applyAlignment="1">
      <alignment horizontal="center" vertical="center" wrapText="1"/>
    </xf>
    <xf numFmtId="0" fontId="13" fillId="2" borderId="2" xfId="5" applyFont="1" applyFill="1" applyBorder="1" applyAlignment="1">
      <alignment horizontal="center" vertical="center" wrapText="1"/>
    </xf>
    <xf numFmtId="0" fontId="13" fillId="2" borderId="3" xfId="5" applyFont="1" applyFill="1" applyBorder="1" applyAlignment="1">
      <alignment horizontal="center" vertical="center" wrapText="1"/>
    </xf>
    <xf numFmtId="0" fontId="11" fillId="0" borderId="1" xfId="5" applyFont="1" applyBorder="1" applyAlignment="1">
      <alignment vertical="center" wrapText="1"/>
    </xf>
    <xf numFmtId="0" fontId="20" fillId="0" borderId="2" xfId="5" applyFont="1" applyBorder="1" applyAlignment="1">
      <alignment horizontal="center" vertical="center" wrapText="1"/>
    </xf>
    <xf numFmtId="0" fontId="20" fillId="0" borderId="9" xfId="5" applyFont="1" applyBorder="1" applyAlignment="1">
      <alignment horizontal="center" vertical="center" wrapText="1"/>
    </xf>
    <xf numFmtId="0" fontId="20" fillId="0" borderId="3" xfId="5" applyFont="1" applyBorder="1" applyAlignment="1">
      <alignment horizontal="center" vertical="center" wrapText="1"/>
    </xf>
    <xf numFmtId="0" fontId="14" fillId="2" borderId="13" xfId="5" applyFont="1" applyFill="1" applyBorder="1" applyAlignment="1">
      <alignment horizontal="center" vertical="center"/>
    </xf>
    <xf numFmtId="0" fontId="14" fillId="2" borderId="14" xfId="5" applyFont="1" applyFill="1" applyBorder="1" applyAlignment="1">
      <alignment horizontal="center" vertical="center"/>
    </xf>
    <xf numFmtId="0" fontId="12" fillId="0" borderId="2" xfId="5" applyFont="1" applyFill="1" applyBorder="1" applyAlignment="1">
      <alignment horizontal="left" vertical="center" wrapText="1"/>
    </xf>
    <xf numFmtId="0" fontId="12" fillId="0" borderId="3" xfId="5" applyFont="1" applyFill="1" applyBorder="1" applyAlignment="1">
      <alignment horizontal="left" vertical="center" wrapText="1"/>
    </xf>
    <xf numFmtId="0" fontId="14" fillId="4" borderId="4" xfId="5" applyFont="1" applyFill="1" applyBorder="1" applyAlignment="1">
      <alignment horizontal="center" vertical="center"/>
    </xf>
    <xf numFmtId="0" fontId="14" fillId="4" borderId="5" xfId="5" applyFont="1" applyFill="1" applyBorder="1" applyAlignment="1">
      <alignment horizontal="center" vertical="center"/>
    </xf>
    <xf numFmtId="0" fontId="14" fillId="4" borderId="6" xfId="5" applyFont="1" applyFill="1" applyBorder="1" applyAlignment="1">
      <alignment horizontal="center" vertical="center"/>
    </xf>
    <xf numFmtId="0" fontId="14" fillId="4" borderId="2" xfId="5" applyFont="1" applyFill="1" applyBorder="1" applyAlignment="1">
      <alignment horizontal="center" vertical="center"/>
    </xf>
    <xf numFmtId="0" fontId="14" fillId="4" borderId="9" xfId="5" applyFont="1" applyFill="1" applyBorder="1" applyAlignment="1">
      <alignment horizontal="center" vertical="center"/>
    </xf>
    <xf numFmtId="0" fontId="13" fillId="4" borderId="2" xfId="5" applyFont="1" applyFill="1" applyBorder="1" applyAlignment="1">
      <alignment horizontal="center" vertical="center" wrapText="1"/>
    </xf>
    <xf numFmtId="0" fontId="13" fillId="4" borderId="9" xfId="5" applyFont="1" applyFill="1" applyBorder="1" applyAlignment="1">
      <alignment horizontal="center" vertical="center" wrapText="1"/>
    </xf>
    <xf numFmtId="0" fontId="13" fillId="4" borderId="3" xfId="5" applyFont="1" applyFill="1" applyBorder="1" applyAlignment="1">
      <alignment horizontal="center" vertical="center" wrapText="1"/>
    </xf>
    <xf numFmtId="0" fontId="13" fillId="2" borderId="4" xfId="5" applyFont="1" applyFill="1" applyBorder="1" applyAlignment="1">
      <alignment horizontal="center" vertical="center" wrapText="1"/>
    </xf>
    <xf numFmtId="0" fontId="13" fillId="2" borderId="7" xfId="5" applyFont="1" applyFill="1" applyBorder="1" applyAlignment="1">
      <alignment horizontal="center" vertical="center" wrapText="1"/>
    </xf>
    <xf numFmtId="0" fontId="15" fillId="0" borderId="4" xfId="5" applyFont="1" applyBorder="1" applyAlignment="1">
      <alignment horizontal="left" vertical="center" wrapText="1"/>
    </xf>
    <xf numFmtId="0" fontId="15" fillId="0" borderId="5" xfId="5" applyFont="1" applyBorder="1" applyAlignment="1">
      <alignment horizontal="left" vertical="center" wrapText="1"/>
    </xf>
    <xf numFmtId="0" fontId="15" fillId="0" borderId="7" xfId="5" applyFont="1" applyBorder="1" applyAlignment="1">
      <alignment horizontal="left" vertical="center" wrapText="1"/>
    </xf>
    <xf numFmtId="0" fontId="15" fillId="0" borderId="0" xfId="5" applyFont="1" applyBorder="1" applyAlignment="1">
      <alignment horizontal="left" vertical="center" wrapText="1"/>
    </xf>
    <xf numFmtId="0" fontId="13" fillId="2" borderId="6" xfId="5" applyFont="1" applyFill="1" applyBorder="1" applyAlignment="1">
      <alignment horizontal="center" vertical="center" wrapText="1"/>
    </xf>
    <xf numFmtId="0" fontId="13" fillId="2" borderId="8" xfId="5" applyFont="1" applyFill="1" applyBorder="1" applyAlignment="1">
      <alignment horizontal="center" vertical="center" wrapText="1"/>
    </xf>
    <xf numFmtId="0" fontId="11" fillId="0" borderId="2" xfId="5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/>
    </xf>
    <xf numFmtId="0" fontId="13" fillId="2" borderId="13" xfId="5" applyFont="1" applyFill="1" applyBorder="1" applyAlignment="1">
      <alignment horizontal="center" vertical="center" wrapText="1"/>
    </xf>
    <xf numFmtId="0" fontId="24" fillId="8" borderId="1" xfId="7" applyFont="1" applyFill="1" applyBorder="1">
      <alignment vertical="center"/>
    </xf>
    <xf numFmtId="0" fontId="26" fillId="0" borderId="15" xfId="0" applyFont="1" applyBorder="1"/>
    <xf numFmtId="0" fontId="0" fillId="0" borderId="15" xfId="0" applyBorder="1"/>
    <xf numFmtId="0" fontId="26" fillId="7" borderId="15" xfId="0" applyFont="1" applyFill="1" applyBorder="1" applyAlignment="1">
      <alignment horizontal="center"/>
    </xf>
    <xf numFmtId="0" fontId="0" fillId="9" borderId="15" xfId="0" applyFill="1" applyBorder="1"/>
    <xf numFmtId="0" fontId="0" fillId="9" borderId="15" xfId="0" applyFill="1" applyBorder="1" applyAlignment="1">
      <alignment wrapText="1"/>
    </xf>
    <xf numFmtId="0" fontId="26" fillId="6" borderId="15" xfId="0" applyFont="1" applyFill="1" applyBorder="1" applyAlignment="1">
      <alignment horizontal="left"/>
    </xf>
    <xf numFmtId="0" fontId="0" fillId="0" borderId="15" xfId="0" applyBorder="1" applyAlignment="1">
      <alignment wrapText="1"/>
    </xf>
    <xf numFmtId="0" fontId="0" fillId="0" borderId="15" xfId="0" applyFont="1" applyBorder="1"/>
    <xf numFmtId="0" fontId="25" fillId="0" borderId="15" xfId="0" applyFont="1" applyBorder="1"/>
    <xf numFmtId="0" fontId="0" fillId="9" borderId="15" xfId="0" applyFill="1" applyBorder="1" applyAlignment="1">
      <alignment horizontal="left"/>
    </xf>
    <xf numFmtId="0" fontId="0" fillId="0" borderId="16" xfId="0" applyFill="1" applyBorder="1" applyAlignment="1">
      <alignment horizontal="left"/>
    </xf>
    <xf numFmtId="0" fontId="0" fillId="0" borderId="17" xfId="0" applyFill="1" applyBorder="1" applyAlignment="1">
      <alignment horizontal="left"/>
    </xf>
    <xf numFmtId="0" fontId="0" fillId="0" borderId="18" xfId="0" applyFill="1" applyBorder="1" applyAlignment="1">
      <alignment horizontal="left"/>
    </xf>
    <xf numFmtId="0" fontId="25" fillId="0" borderId="16" xfId="0" applyFont="1" applyBorder="1" applyAlignment="1">
      <alignment horizontal="left" wrapText="1"/>
    </xf>
    <xf numFmtId="0" fontId="25" fillId="0" borderId="17" xfId="0" applyFont="1" applyBorder="1" applyAlignment="1">
      <alignment horizontal="left" wrapText="1"/>
    </xf>
    <xf numFmtId="0" fontId="25" fillId="0" borderId="18" xfId="0" applyFont="1" applyBorder="1" applyAlignment="1">
      <alignment horizontal="left" wrapText="1"/>
    </xf>
    <xf numFmtId="0" fontId="0" fillId="0" borderId="15" xfId="0" applyBorder="1" applyAlignment="1">
      <alignment horizontal="left"/>
    </xf>
    <xf numFmtId="0" fontId="27" fillId="8" borderId="0" xfId="0" applyFont="1" applyFill="1" applyAlignment="1">
      <alignment horizontal="center"/>
    </xf>
    <xf numFmtId="49" fontId="0" fillId="9" borderId="15" xfId="0" applyNumberFormat="1" applyFill="1" applyBorder="1"/>
    <xf numFmtId="0" fontId="0" fillId="9" borderId="15" xfId="0" applyNumberFormat="1" applyFill="1" applyBorder="1"/>
  </cellXfs>
  <cellStyles count="8">
    <cellStyle name="백분율" xfId="3" builtinId="5"/>
    <cellStyle name="스타일 1 2" xfId="1"/>
    <cellStyle name="표준" xfId="0" builtinId="0"/>
    <cellStyle name="표준 2" xfId="4"/>
    <cellStyle name="표준 2 2" xfId="2"/>
    <cellStyle name="표준 2 3" xfId="5"/>
    <cellStyle name="표준 2 4" xfId="6"/>
    <cellStyle name="표준 3" xfId="7"/>
  </cellStyles>
  <dxfs count="120"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4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  <pageSetUpPr fitToPage="1"/>
  </sheetPr>
  <dimension ref="A1:AK7"/>
  <sheetViews>
    <sheetView zoomScaleNormal="100" zoomScaleSheetLayoutView="100" workbookViewId="0">
      <selection activeCell="D26" sqref="D26"/>
    </sheetView>
  </sheetViews>
  <sheetFormatPr defaultColWidth="8.77734375" defaultRowHeight="13.5" x14ac:dyDescent="0.25"/>
  <cols>
    <col min="1" max="1" width="4.33203125" style="40" bestFit="1" customWidth="1"/>
    <col min="2" max="2" width="10.6640625" style="40" customWidth="1"/>
    <col min="3" max="3" width="21.6640625" style="40" customWidth="1"/>
    <col min="4" max="4" width="8.5546875" style="40" bestFit="1" customWidth="1"/>
    <col min="5" max="13" width="10.6640625" style="40" customWidth="1"/>
    <col min="14" max="14" width="8.77734375" style="40"/>
    <col min="15" max="15" width="12.44140625" style="40" customWidth="1"/>
    <col min="16" max="16" width="11.109375" style="40" customWidth="1"/>
    <col min="17" max="16384" width="8.77734375" style="40"/>
  </cols>
  <sheetData>
    <row r="1" spans="1:37" s="29" customFormat="1" ht="22.5" customHeight="1" x14ac:dyDescent="0.15">
      <c r="A1" s="61" t="s">
        <v>39</v>
      </c>
      <c r="B1" s="61" t="s">
        <v>40</v>
      </c>
      <c r="C1" s="61" t="s">
        <v>41</v>
      </c>
      <c r="D1" s="61" t="s">
        <v>0</v>
      </c>
      <c r="E1" s="61" t="s">
        <v>42</v>
      </c>
      <c r="F1" s="61" t="s">
        <v>43</v>
      </c>
      <c r="G1" s="61" t="s">
        <v>44</v>
      </c>
      <c r="H1" s="61" t="s">
        <v>45</v>
      </c>
      <c r="I1" s="61" t="s">
        <v>1</v>
      </c>
      <c r="J1" s="61" t="s">
        <v>133</v>
      </c>
      <c r="K1" s="61"/>
      <c r="L1" s="61"/>
      <c r="M1" s="61"/>
      <c r="N1" s="61"/>
      <c r="O1" s="61"/>
      <c r="P1" s="61" t="s">
        <v>46</v>
      </c>
      <c r="Q1" s="27"/>
      <c r="R1" s="27"/>
      <c r="S1" s="28"/>
      <c r="T1" s="28"/>
      <c r="U1" s="28"/>
      <c r="V1" s="28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</row>
    <row r="2" spans="1:37" s="27" customFormat="1" ht="30.75" customHeight="1" x14ac:dyDescent="0.15">
      <c r="A2" s="61"/>
      <c r="B2" s="61"/>
      <c r="C2" s="61"/>
      <c r="D2" s="61"/>
      <c r="E2" s="61"/>
      <c r="F2" s="61"/>
      <c r="G2" s="61"/>
      <c r="H2" s="61"/>
      <c r="I2" s="61"/>
      <c r="J2" s="30" t="s">
        <v>2</v>
      </c>
      <c r="K2" s="30" t="s">
        <v>3</v>
      </c>
      <c r="L2" s="30" t="s">
        <v>4</v>
      </c>
      <c r="M2" s="30" t="s">
        <v>5</v>
      </c>
      <c r="N2" s="30" t="s">
        <v>6</v>
      </c>
      <c r="O2" s="30" t="s">
        <v>47</v>
      </c>
      <c r="P2" s="61"/>
      <c r="Q2" s="31"/>
      <c r="R2" s="31"/>
      <c r="S2" s="28"/>
      <c r="T2" s="28"/>
      <c r="U2" s="28"/>
      <c r="V2" s="28"/>
    </row>
    <row r="3" spans="1:37" s="27" customFormat="1" ht="29.1" customHeight="1" x14ac:dyDescent="0.15">
      <c r="A3" s="55"/>
      <c r="B3" s="55"/>
      <c r="C3" s="55"/>
      <c r="D3" s="55"/>
      <c r="E3" s="55"/>
      <c r="F3" s="55"/>
      <c r="G3" s="55"/>
      <c r="H3" s="55"/>
      <c r="I3" s="32">
        <f>SUM(I4:I37)</f>
        <v>124</v>
      </c>
      <c r="J3" s="32">
        <f>SUM(J4:J37)</f>
        <v>0</v>
      </c>
      <c r="K3" s="32">
        <f>SUM(K4:K37)</f>
        <v>0</v>
      </c>
      <c r="L3" s="32">
        <f>SUM(L4:L37)</f>
        <v>0</v>
      </c>
      <c r="M3" s="32">
        <f>SUM(M4:M37)</f>
        <v>0</v>
      </c>
      <c r="N3" s="33" t="str">
        <f>IFERROR(M3/K3,"-")</f>
        <v>-</v>
      </c>
      <c r="O3" s="32"/>
      <c r="P3" s="32"/>
      <c r="Q3" s="31"/>
      <c r="R3" s="31"/>
      <c r="S3" s="28"/>
      <c r="T3" s="28"/>
      <c r="U3" s="28"/>
      <c r="V3" s="28"/>
    </row>
    <row r="4" spans="1:37" s="27" customFormat="1" ht="27.75" customHeight="1" x14ac:dyDescent="0.15">
      <c r="A4" s="34">
        <v>1</v>
      </c>
      <c r="B4" s="35" t="s">
        <v>48</v>
      </c>
      <c r="C4" s="41" t="s">
        <v>49</v>
      </c>
      <c r="D4" s="54" t="s">
        <v>135</v>
      </c>
      <c r="E4" s="36">
        <v>44790</v>
      </c>
      <c r="F4" s="36">
        <v>44790</v>
      </c>
      <c r="G4" s="36"/>
      <c r="H4" s="36"/>
      <c r="I4" s="37">
        <f>해상수입!$J$3</f>
        <v>31</v>
      </c>
      <c r="J4" s="37">
        <f>해상수입!$K$3</f>
        <v>0</v>
      </c>
      <c r="K4" s="37">
        <f>해상수입!$L$3</f>
        <v>0</v>
      </c>
      <c r="L4" s="37">
        <f>해상수입!$M$3</f>
        <v>0</v>
      </c>
      <c r="M4" s="37">
        <f>해상수입!$N$3</f>
        <v>0</v>
      </c>
      <c r="N4" s="38" t="str">
        <f>해상수입!$O$3</f>
        <v>-</v>
      </c>
      <c r="O4" s="37"/>
      <c r="P4" s="39"/>
      <c r="Q4" s="31"/>
      <c r="R4" s="31"/>
      <c r="S4" s="28"/>
      <c r="T4" s="28"/>
      <c r="U4" s="28"/>
      <c r="V4" s="28"/>
    </row>
    <row r="5" spans="1:37" s="27" customFormat="1" ht="27.75" customHeight="1" x14ac:dyDescent="0.15">
      <c r="A5" s="34">
        <v>2</v>
      </c>
      <c r="B5" s="35" t="s">
        <v>48</v>
      </c>
      <c r="C5" s="41" t="s">
        <v>49</v>
      </c>
      <c r="D5" s="54" t="s">
        <v>137</v>
      </c>
      <c r="E5" s="36">
        <v>44790</v>
      </c>
      <c r="F5" s="36">
        <v>44790</v>
      </c>
      <c r="G5" s="36"/>
      <c r="H5" s="36"/>
      <c r="I5" s="37">
        <f>해상수출!$J$3</f>
        <v>31</v>
      </c>
      <c r="J5" s="37">
        <f>해상수출!$K$3</f>
        <v>0</v>
      </c>
      <c r="K5" s="37">
        <f>해상수출!$L$3</f>
        <v>0</v>
      </c>
      <c r="L5" s="37">
        <f>해상수출!$M$3</f>
        <v>0</v>
      </c>
      <c r="M5" s="37">
        <f>해상수출!$N$3</f>
        <v>0</v>
      </c>
      <c r="N5" s="38" t="str">
        <f>해상수출!$O$3</f>
        <v>-</v>
      </c>
      <c r="O5" s="37"/>
      <c r="P5" s="39"/>
      <c r="Q5" s="31"/>
      <c r="R5" s="31"/>
      <c r="S5" s="28"/>
      <c r="T5" s="28"/>
      <c r="U5" s="28"/>
      <c r="V5" s="28"/>
    </row>
    <row r="6" spans="1:37" s="27" customFormat="1" ht="27.75" customHeight="1" x14ac:dyDescent="0.15">
      <c r="A6" s="34">
        <v>3</v>
      </c>
      <c r="B6" s="35" t="s">
        <v>48</v>
      </c>
      <c r="C6" s="41" t="s">
        <v>49</v>
      </c>
      <c r="D6" s="54" t="s">
        <v>139</v>
      </c>
      <c r="E6" s="36">
        <v>44790</v>
      </c>
      <c r="F6" s="36">
        <v>44790</v>
      </c>
      <c r="G6" s="36"/>
      <c r="H6" s="36"/>
      <c r="I6" s="37">
        <f>항공수입!$J$3</f>
        <v>31</v>
      </c>
      <c r="J6" s="37">
        <f>항공수입!$K$3</f>
        <v>0</v>
      </c>
      <c r="K6" s="37">
        <f>항공수입!$L$3</f>
        <v>0</v>
      </c>
      <c r="L6" s="37">
        <f>항공수입!$M$3</f>
        <v>0</v>
      </c>
      <c r="M6" s="37">
        <f>항공수입!$N$3</f>
        <v>0</v>
      </c>
      <c r="N6" s="38" t="str">
        <f>항공수입!$O$3</f>
        <v>-</v>
      </c>
      <c r="O6" s="37"/>
      <c r="P6" s="39"/>
      <c r="Q6" s="31"/>
      <c r="R6" s="31"/>
      <c r="S6" s="28"/>
      <c r="T6" s="28"/>
      <c r="U6" s="28"/>
      <c r="V6" s="28"/>
    </row>
    <row r="7" spans="1:37" s="27" customFormat="1" ht="27.75" customHeight="1" x14ac:dyDescent="0.15">
      <c r="A7" s="34">
        <v>4</v>
      </c>
      <c r="B7" s="35" t="s">
        <v>48</v>
      </c>
      <c r="C7" s="41" t="s">
        <v>49</v>
      </c>
      <c r="D7" s="54" t="s">
        <v>141</v>
      </c>
      <c r="E7" s="36">
        <v>44790</v>
      </c>
      <c r="F7" s="36">
        <v>44790</v>
      </c>
      <c r="G7" s="36"/>
      <c r="H7" s="36"/>
      <c r="I7" s="37">
        <f>해상수입!$J$3</f>
        <v>31</v>
      </c>
      <c r="J7" s="37">
        <f>항공수출!$K$3</f>
        <v>0</v>
      </c>
      <c r="K7" s="37">
        <f>항공수출!$L$3</f>
        <v>0</v>
      </c>
      <c r="L7" s="37">
        <f>항공수출!$M$3</f>
        <v>0</v>
      </c>
      <c r="M7" s="37">
        <f>항공수출!$N$3</f>
        <v>0</v>
      </c>
      <c r="N7" s="38" t="str">
        <f>항공수출!$O$3</f>
        <v>-</v>
      </c>
      <c r="O7" s="37"/>
      <c r="P7" s="39"/>
      <c r="Q7" s="31"/>
      <c r="R7" s="31"/>
      <c r="S7" s="28"/>
      <c r="T7" s="28"/>
      <c r="U7" s="28"/>
      <c r="V7" s="28"/>
    </row>
  </sheetData>
  <mergeCells count="11">
    <mergeCell ref="P1:P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O1"/>
  </mergeCells>
  <phoneticPr fontId="6" type="noConversion"/>
  <conditionalFormatting sqref="AC2:AC4">
    <cfRule type="expression" dxfId="119" priority="13">
      <formula>$AC2&gt;$AB2</formula>
    </cfRule>
  </conditionalFormatting>
  <conditionalFormatting sqref="AJ2:AJ4">
    <cfRule type="expression" dxfId="118" priority="12">
      <formula>$AJ2&gt;$AI2</formula>
    </cfRule>
  </conditionalFormatting>
  <conditionalFormatting sqref="S2:V4 X2:AA4 AE2:AH4">
    <cfRule type="expression" dxfId="117" priority="11">
      <formula>OR(WEEKDAY(S2)=1, WEEKDAY(S2)=7)</formula>
    </cfRule>
  </conditionalFormatting>
  <conditionalFormatting sqref="O4">
    <cfRule type="expression" dxfId="116" priority="14">
      <formula>OR(#REF!="추가", #REF!="변경", #REF!="삭제")</formula>
    </cfRule>
  </conditionalFormatting>
  <conditionalFormatting sqref="AC5:AC7">
    <cfRule type="expression" dxfId="115" priority="3">
      <formula>$AC5&gt;$AB5</formula>
    </cfRule>
  </conditionalFormatting>
  <conditionalFormatting sqref="AJ5:AJ7">
    <cfRule type="expression" dxfId="114" priority="2">
      <formula>$AJ5&gt;$AI5</formula>
    </cfRule>
  </conditionalFormatting>
  <conditionalFormatting sqref="S5:V7 X5:AA7 AE5:AH7">
    <cfRule type="expression" dxfId="113" priority="1">
      <formula>OR(WEEKDAY(S5)=1, WEEKDAY(S5)=7)</formula>
    </cfRule>
  </conditionalFormatting>
  <conditionalFormatting sqref="O5:O7">
    <cfRule type="expression" dxfId="112" priority="4">
      <formula>OR(#REF!="추가", #REF!="변경", #REF!="삭제")</formula>
    </cfRule>
  </conditionalFormatting>
  <dataValidations count="1">
    <dataValidation type="list" allowBlank="1" showInputMessage="1" showErrorMessage="1" sqref="O4:O7">
      <formula1>"P,F,N/A"</formula1>
    </dataValidation>
  </dataValidations>
  <pageMargins left="0.70866141732283472" right="0.70866141732283472" top="0.74803149606299213" bottom="0.74803149606299213" header="0.31496062992125984" footer="0.31496062992125984"/>
  <pageSetup paperSize="9" scale="55" fitToHeight="0" orientation="landscape" r:id="rId1"/>
  <headerFooter>
    <oddHeader>&amp;L디지털무역기반구축사업(시스템 개발 3단계)&amp;RD0201_G01_&amp;A</oddHeader>
    <oddFooter>&amp;L&amp;G&amp;R&amp;G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29"/>
  <sheetViews>
    <sheetView zoomScale="85" zoomScaleNormal="85" workbookViewId="0">
      <selection activeCell="B5" sqref="B5"/>
    </sheetView>
  </sheetViews>
  <sheetFormatPr defaultRowHeight="16.5" x14ac:dyDescent="0.15"/>
  <cols>
    <col min="1" max="1" width="8.88671875" style="51"/>
    <col min="2" max="2" width="18.109375" style="51" bestFit="1" customWidth="1"/>
    <col min="3" max="3" width="17.109375" style="51" bestFit="1" customWidth="1"/>
    <col min="4" max="4" width="20.88671875" style="51" bestFit="1" customWidth="1"/>
    <col min="5" max="5" width="17.109375" style="51" bestFit="1" customWidth="1"/>
    <col min="6" max="6" width="21.21875" style="51" bestFit="1" customWidth="1"/>
    <col min="7" max="7" width="14.33203125" style="51" bestFit="1" customWidth="1"/>
    <col min="8" max="16384" width="8.88671875" style="51"/>
  </cols>
  <sheetData>
    <row r="1" spans="1:5" ht="30" customHeight="1" x14ac:dyDescent="0.15">
      <c r="A1" s="56" t="s">
        <v>224</v>
      </c>
    </row>
    <row r="3" spans="1:5" ht="32.25" customHeight="1" x14ac:dyDescent="0.15">
      <c r="A3" s="60" t="s">
        <v>226</v>
      </c>
      <c r="B3" s="57" t="s">
        <v>136</v>
      </c>
      <c r="C3" s="57" t="s">
        <v>134</v>
      </c>
      <c r="D3" s="57" t="s">
        <v>140</v>
      </c>
      <c r="E3" s="57" t="s">
        <v>138</v>
      </c>
    </row>
    <row r="4" spans="1:5" ht="24.95" customHeight="1" x14ac:dyDescent="0.15">
      <c r="B4" s="52" t="s">
        <v>142</v>
      </c>
      <c r="C4" s="52" t="s">
        <v>142</v>
      </c>
      <c r="D4" s="52" t="s">
        <v>142</v>
      </c>
      <c r="E4" s="52" t="s">
        <v>142</v>
      </c>
    </row>
    <row r="5" spans="1:5" x14ac:dyDescent="0.15">
      <c r="B5" s="94" t="s">
        <v>225</v>
      </c>
      <c r="C5" s="59" t="s">
        <v>225</v>
      </c>
      <c r="D5" s="59" t="s">
        <v>225</v>
      </c>
      <c r="E5" s="53" t="s">
        <v>143</v>
      </c>
    </row>
    <row r="6" spans="1:5" x14ac:dyDescent="0.15">
      <c r="B6" s="53" t="s">
        <v>143</v>
      </c>
      <c r="C6" s="53" t="s">
        <v>143</v>
      </c>
      <c r="D6" s="53" t="s">
        <v>143</v>
      </c>
      <c r="E6" s="53" t="s">
        <v>152</v>
      </c>
    </row>
    <row r="7" spans="1:5" x14ac:dyDescent="0.15">
      <c r="B7" s="53" t="s">
        <v>144</v>
      </c>
      <c r="C7" s="53" t="s">
        <v>144</v>
      </c>
      <c r="D7" s="53" t="s">
        <v>152</v>
      </c>
      <c r="E7" s="53" t="s">
        <v>153</v>
      </c>
    </row>
    <row r="8" spans="1:5" x14ac:dyDescent="0.15">
      <c r="B8" s="53" t="s">
        <v>145</v>
      </c>
      <c r="C8" s="53" t="s">
        <v>146</v>
      </c>
    </row>
    <row r="9" spans="1:5" x14ac:dyDescent="0.15">
      <c r="B9" s="53" t="s">
        <v>147</v>
      </c>
      <c r="C9" s="53" t="s">
        <v>145</v>
      </c>
    </row>
    <row r="10" spans="1:5" x14ac:dyDescent="0.15">
      <c r="B10" s="53" t="s">
        <v>148</v>
      </c>
      <c r="C10" s="53" t="s">
        <v>147</v>
      </c>
    </row>
    <row r="11" spans="1:5" x14ac:dyDescent="0.15">
      <c r="B11" s="53" t="s">
        <v>149</v>
      </c>
      <c r="C11" s="53" t="s">
        <v>148</v>
      </c>
    </row>
    <row r="12" spans="1:5" x14ac:dyDescent="0.15">
      <c r="B12" s="53" t="s">
        <v>150</v>
      </c>
      <c r="C12" s="53" t="s">
        <v>149</v>
      </c>
    </row>
    <row r="13" spans="1:5" x14ac:dyDescent="0.15">
      <c r="B13" s="53" t="s">
        <v>151</v>
      </c>
      <c r="C13" s="53" t="s">
        <v>150</v>
      </c>
    </row>
    <row r="14" spans="1:5" x14ac:dyDescent="0.15">
      <c r="B14" s="58"/>
      <c r="C14" s="53" t="s">
        <v>151</v>
      </c>
    </row>
    <row r="16" spans="1:5" ht="30.75" customHeight="1" x14ac:dyDescent="0.15">
      <c r="A16" s="60" t="s">
        <v>227</v>
      </c>
      <c r="B16" s="62" t="s">
        <v>228</v>
      </c>
      <c r="C16" s="62"/>
    </row>
    <row r="17" spans="2:3" ht="24.95" customHeight="1" x14ac:dyDescent="0.15">
      <c r="B17" s="52" t="s">
        <v>154</v>
      </c>
      <c r="C17" s="52" t="s">
        <v>155</v>
      </c>
    </row>
    <row r="18" spans="2:3" x14ac:dyDescent="0.15">
      <c r="B18" s="53" t="s">
        <v>156</v>
      </c>
      <c r="C18" s="53" t="s">
        <v>156</v>
      </c>
    </row>
    <row r="19" spans="2:3" x14ac:dyDescent="0.15">
      <c r="B19" s="53" t="s">
        <v>157</v>
      </c>
      <c r="C19" s="53" t="s">
        <v>144</v>
      </c>
    </row>
    <row r="20" spans="2:3" x14ac:dyDescent="0.15">
      <c r="B20" s="53" t="s">
        <v>158</v>
      </c>
      <c r="C20" s="53" t="s">
        <v>158</v>
      </c>
    </row>
    <row r="21" spans="2:3" x14ac:dyDescent="0.15">
      <c r="B21" s="53" t="s">
        <v>159</v>
      </c>
      <c r="C21" s="53" t="s">
        <v>159</v>
      </c>
    </row>
    <row r="22" spans="2:3" x14ac:dyDescent="0.15">
      <c r="B22" s="53" t="s">
        <v>160</v>
      </c>
      <c r="C22" s="53" t="s">
        <v>160</v>
      </c>
    </row>
    <row r="23" spans="2:3" x14ac:dyDescent="0.15">
      <c r="B23" s="53" t="s">
        <v>161</v>
      </c>
      <c r="C23" s="53" t="s">
        <v>161</v>
      </c>
    </row>
    <row r="24" spans="2:3" x14ac:dyDescent="0.15">
      <c r="B24" s="53" t="s">
        <v>162</v>
      </c>
      <c r="C24" s="53" t="s">
        <v>162</v>
      </c>
    </row>
    <row r="25" spans="2:3" x14ac:dyDescent="0.15">
      <c r="B25" s="53" t="s">
        <v>163</v>
      </c>
      <c r="C25" s="53" t="s">
        <v>163</v>
      </c>
    </row>
    <row r="26" spans="2:3" x14ac:dyDescent="0.15">
      <c r="B26" s="53" t="s">
        <v>164</v>
      </c>
      <c r="C26" s="53" t="s">
        <v>164</v>
      </c>
    </row>
    <row r="27" spans="2:3" x14ac:dyDescent="0.15">
      <c r="B27" s="53" t="s">
        <v>165</v>
      </c>
      <c r="C27" s="53" t="s">
        <v>165</v>
      </c>
    </row>
    <row r="28" spans="2:3" x14ac:dyDescent="0.15">
      <c r="B28" s="53" t="s">
        <v>166</v>
      </c>
      <c r="C28" s="53" t="s">
        <v>166</v>
      </c>
    </row>
    <row r="29" spans="2:3" x14ac:dyDescent="0.15">
      <c r="B29" s="53" t="s">
        <v>167</v>
      </c>
      <c r="C29" s="53" t="s">
        <v>167</v>
      </c>
    </row>
  </sheetData>
  <mergeCells count="1">
    <mergeCell ref="B16:C16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4"/>
  <sheetViews>
    <sheetView tabSelected="1" workbookViewId="0">
      <selection sqref="A1:E1"/>
    </sheetView>
  </sheetViews>
  <sheetFormatPr defaultRowHeight="13.5" x14ac:dyDescent="0.15"/>
  <cols>
    <col min="2" max="2" width="14.77734375" customWidth="1"/>
    <col min="3" max="3" width="16.109375" customWidth="1"/>
    <col min="4" max="4" width="21.33203125" bestFit="1" customWidth="1"/>
    <col min="5" max="5" width="38.77734375" customWidth="1"/>
  </cols>
  <sheetData>
    <row r="1" spans="1:5" ht="18.75" x14ac:dyDescent="0.25">
      <c r="A1" s="112" t="s">
        <v>437</v>
      </c>
      <c r="B1" s="112"/>
      <c r="C1" s="112"/>
      <c r="D1" s="112"/>
      <c r="E1" s="112"/>
    </row>
    <row r="2" spans="1:5" x14ac:dyDescent="0.15">
      <c r="B2" s="96"/>
      <c r="C2" s="96"/>
      <c r="D2" s="96"/>
      <c r="E2" s="96"/>
    </row>
    <row r="3" spans="1:5" x14ac:dyDescent="0.15">
      <c r="A3" s="95" t="s">
        <v>229</v>
      </c>
      <c r="B3" s="97" t="s">
        <v>238</v>
      </c>
      <c r="C3" s="97" t="s">
        <v>259</v>
      </c>
      <c r="D3" s="97" t="s">
        <v>239</v>
      </c>
      <c r="E3" s="97" t="s">
        <v>240</v>
      </c>
    </row>
    <row r="4" spans="1:5" x14ac:dyDescent="0.15">
      <c r="A4" s="96"/>
      <c r="B4" s="98" t="s">
        <v>284</v>
      </c>
      <c r="C4" s="96"/>
      <c r="D4" s="98" t="s">
        <v>231</v>
      </c>
      <c r="E4" s="96"/>
    </row>
    <row r="5" spans="1:5" x14ac:dyDescent="0.15">
      <c r="A5" s="96"/>
      <c r="B5" s="98" t="s">
        <v>234</v>
      </c>
      <c r="C5" s="96"/>
      <c r="D5" s="98" t="s">
        <v>439</v>
      </c>
      <c r="E5" s="96"/>
    </row>
    <row r="6" spans="1:5" x14ac:dyDescent="0.15">
      <c r="A6" s="96"/>
      <c r="B6" s="98" t="s">
        <v>249</v>
      </c>
      <c r="C6" s="96"/>
      <c r="D6" s="98" t="s">
        <v>441</v>
      </c>
      <c r="E6" s="96"/>
    </row>
    <row r="7" spans="1:5" x14ac:dyDescent="0.15">
      <c r="A7" s="96"/>
      <c r="B7" s="98" t="s">
        <v>255</v>
      </c>
      <c r="C7" s="96" t="s">
        <v>252</v>
      </c>
      <c r="D7" s="98" t="s">
        <v>442</v>
      </c>
      <c r="E7" s="96" t="s">
        <v>444</v>
      </c>
    </row>
    <row r="8" spans="1:5" x14ac:dyDescent="0.15">
      <c r="A8" s="96"/>
      <c r="B8" s="98" t="s">
        <v>254</v>
      </c>
      <c r="C8" s="96" t="s">
        <v>251</v>
      </c>
      <c r="D8" s="98" t="s">
        <v>443</v>
      </c>
      <c r="E8" s="96" t="s">
        <v>445</v>
      </c>
    </row>
    <row r="9" spans="1:5" x14ac:dyDescent="0.15">
      <c r="A9" s="96"/>
      <c r="B9" s="100" t="s">
        <v>267</v>
      </c>
      <c r="C9" s="100"/>
      <c r="D9" s="100"/>
      <c r="E9" s="100"/>
    </row>
    <row r="10" spans="1:5" x14ac:dyDescent="0.15">
      <c r="A10" s="96"/>
      <c r="B10" s="98" t="s">
        <v>245</v>
      </c>
      <c r="C10" s="96" t="s">
        <v>250</v>
      </c>
      <c r="D10" s="98" t="s">
        <v>440</v>
      </c>
      <c r="E10" s="96"/>
    </row>
    <row r="11" spans="1:5" x14ac:dyDescent="0.15">
      <c r="A11" s="96"/>
      <c r="B11" s="98" t="s">
        <v>247</v>
      </c>
      <c r="C11" s="96" t="s">
        <v>447</v>
      </c>
      <c r="D11" s="98" t="s">
        <v>446</v>
      </c>
      <c r="E11" s="96"/>
    </row>
    <row r="12" spans="1:5" x14ac:dyDescent="0.15">
      <c r="A12" s="96"/>
      <c r="B12" s="98" t="s">
        <v>257</v>
      </c>
      <c r="C12" s="96" t="s">
        <v>258</v>
      </c>
      <c r="D12" s="98" t="s">
        <v>449</v>
      </c>
      <c r="E12" s="96"/>
    </row>
    <row r="13" spans="1:5" x14ac:dyDescent="0.15">
      <c r="A13" s="96"/>
      <c r="B13" s="98" t="s">
        <v>261</v>
      </c>
      <c r="C13" s="96" t="s">
        <v>262</v>
      </c>
      <c r="D13" s="98" t="s">
        <v>450</v>
      </c>
      <c r="E13" s="96"/>
    </row>
    <row r="14" spans="1:5" x14ac:dyDescent="0.15">
      <c r="A14" s="96"/>
      <c r="B14" s="98" t="s">
        <v>451</v>
      </c>
      <c r="C14" s="96" t="s">
        <v>520</v>
      </c>
      <c r="D14" s="104">
        <v>20220731</v>
      </c>
      <c r="E14" s="96"/>
    </row>
    <row r="15" spans="1:5" x14ac:dyDescent="0.15">
      <c r="A15" s="96"/>
      <c r="B15" s="98" t="s">
        <v>268</v>
      </c>
      <c r="C15" s="96"/>
      <c r="D15" s="98" t="s">
        <v>500</v>
      </c>
      <c r="E15" s="96" t="s">
        <v>501</v>
      </c>
    </row>
    <row r="16" spans="1:5" ht="27" x14ac:dyDescent="0.15">
      <c r="A16" s="96"/>
      <c r="B16" s="98"/>
      <c r="C16" s="98" t="s">
        <v>452</v>
      </c>
      <c r="D16" s="99" t="s">
        <v>453</v>
      </c>
      <c r="E16" s="96" t="s">
        <v>457</v>
      </c>
    </row>
    <row r="17" spans="1:5" ht="27" x14ac:dyDescent="0.15">
      <c r="A17" s="96"/>
      <c r="B17" s="98"/>
      <c r="C17" s="98" t="s">
        <v>443</v>
      </c>
      <c r="D17" s="99" t="s">
        <v>454</v>
      </c>
      <c r="E17" s="96" t="s">
        <v>458</v>
      </c>
    </row>
    <row r="18" spans="1:5" ht="27" x14ac:dyDescent="0.15">
      <c r="A18" s="96"/>
      <c r="B18" s="98"/>
      <c r="C18" s="98" t="s">
        <v>455</v>
      </c>
      <c r="D18" s="99" t="s">
        <v>456</v>
      </c>
      <c r="E18" s="96" t="s">
        <v>459</v>
      </c>
    </row>
    <row r="19" spans="1:5" x14ac:dyDescent="0.15">
      <c r="A19" s="96"/>
      <c r="B19" s="98"/>
      <c r="C19" s="98" t="s">
        <v>236</v>
      </c>
      <c r="D19" s="99"/>
      <c r="E19" s="96" t="s">
        <v>460</v>
      </c>
    </row>
    <row r="20" spans="1:5" x14ac:dyDescent="0.15">
      <c r="A20" s="96"/>
      <c r="B20" s="98" t="s">
        <v>278</v>
      </c>
      <c r="C20" s="98"/>
      <c r="D20" s="99" t="s">
        <v>461</v>
      </c>
      <c r="E20" s="96" t="s">
        <v>467</v>
      </c>
    </row>
    <row r="21" spans="1:5" x14ac:dyDescent="0.15">
      <c r="A21" s="96"/>
      <c r="B21" s="98"/>
      <c r="C21" s="98"/>
      <c r="D21" s="99" t="s">
        <v>462</v>
      </c>
      <c r="E21" s="96" t="s">
        <v>468</v>
      </c>
    </row>
    <row r="22" spans="1:5" x14ac:dyDescent="0.15">
      <c r="A22" s="96"/>
      <c r="B22" s="98"/>
      <c r="C22" s="98"/>
      <c r="D22" s="99" t="s">
        <v>463</v>
      </c>
      <c r="E22" s="96" t="s">
        <v>469</v>
      </c>
    </row>
    <row r="23" spans="1:5" x14ac:dyDescent="0.15">
      <c r="A23" s="96"/>
      <c r="B23" s="98"/>
      <c r="C23" s="98"/>
      <c r="D23" s="99" t="s">
        <v>464</v>
      </c>
      <c r="E23" s="96" t="s">
        <v>470</v>
      </c>
    </row>
    <row r="24" spans="1:5" x14ac:dyDescent="0.15">
      <c r="A24" s="96"/>
      <c r="B24" s="98"/>
      <c r="C24" s="98"/>
      <c r="D24" s="99" t="s">
        <v>465</v>
      </c>
      <c r="E24" s="96" t="s">
        <v>471</v>
      </c>
    </row>
    <row r="25" spans="1:5" x14ac:dyDescent="0.15">
      <c r="A25" s="96"/>
      <c r="B25" s="98"/>
      <c r="C25" s="98"/>
      <c r="D25" s="99" t="s">
        <v>466</v>
      </c>
      <c r="E25" s="96" t="s">
        <v>484</v>
      </c>
    </row>
    <row r="26" spans="1:5" ht="27" x14ac:dyDescent="0.15">
      <c r="A26" s="96"/>
      <c r="B26" s="99" t="s">
        <v>472</v>
      </c>
      <c r="C26" s="98"/>
      <c r="D26" s="99" t="s">
        <v>473</v>
      </c>
      <c r="E26" s="96"/>
    </row>
    <row r="27" spans="1:5" x14ac:dyDescent="0.15">
      <c r="A27" s="96"/>
      <c r="B27" s="96"/>
      <c r="C27" s="96"/>
      <c r="D27" s="96"/>
      <c r="E27" s="96"/>
    </row>
    <row r="28" spans="1:5" x14ac:dyDescent="0.15">
      <c r="A28" s="95" t="s">
        <v>283</v>
      </c>
      <c r="B28" s="97" t="s">
        <v>238</v>
      </c>
      <c r="C28" s="97" t="s">
        <v>259</v>
      </c>
      <c r="D28" s="97" t="s">
        <v>239</v>
      </c>
      <c r="E28" s="97" t="s">
        <v>240</v>
      </c>
    </row>
    <row r="29" spans="1:5" x14ac:dyDescent="0.15">
      <c r="A29" s="96"/>
      <c r="B29" s="98" t="s">
        <v>284</v>
      </c>
      <c r="C29" s="96"/>
      <c r="D29" s="98" t="s">
        <v>474</v>
      </c>
      <c r="E29" s="96"/>
    </row>
    <row r="30" spans="1:5" x14ac:dyDescent="0.15">
      <c r="A30" s="96"/>
      <c r="B30" s="98" t="s">
        <v>475</v>
      </c>
      <c r="C30" s="96"/>
      <c r="D30" s="98" t="s">
        <v>330</v>
      </c>
      <c r="E30" s="96"/>
    </row>
    <row r="31" spans="1:5" x14ac:dyDescent="0.15">
      <c r="A31" s="96"/>
      <c r="B31" s="98" t="s">
        <v>232</v>
      </c>
      <c r="C31" s="96"/>
      <c r="D31" s="98" t="s">
        <v>416</v>
      </c>
      <c r="E31" s="96"/>
    </row>
    <row r="32" spans="1:5" x14ac:dyDescent="0.15">
      <c r="A32" s="96"/>
      <c r="B32" s="98" t="s">
        <v>234</v>
      </c>
      <c r="C32" s="96"/>
      <c r="D32" s="98" t="s">
        <v>476</v>
      </c>
      <c r="E32" s="96"/>
    </row>
    <row r="33" spans="1:5" x14ac:dyDescent="0.15">
      <c r="A33" s="96"/>
      <c r="B33" s="98" t="s">
        <v>249</v>
      </c>
      <c r="C33" s="96"/>
      <c r="D33" s="98"/>
      <c r="E33" s="96"/>
    </row>
    <row r="34" spans="1:5" x14ac:dyDescent="0.15">
      <c r="A34" s="96"/>
      <c r="B34" s="98" t="s">
        <v>255</v>
      </c>
      <c r="C34" s="96" t="s">
        <v>252</v>
      </c>
      <c r="D34" s="98" t="s">
        <v>442</v>
      </c>
      <c r="E34" s="96" t="s">
        <v>444</v>
      </c>
    </row>
    <row r="35" spans="1:5" x14ac:dyDescent="0.15">
      <c r="A35" s="96"/>
      <c r="B35" s="98" t="s">
        <v>254</v>
      </c>
      <c r="C35" s="96" t="s">
        <v>251</v>
      </c>
      <c r="D35" s="98" t="s">
        <v>477</v>
      </c>
      <c r="E35" s="96" t="s">
        <v>478</v>
      </c>
    </row>
    <row r="36" spans="1:5" x14ac:dyDescent="0.15">
      <c r="A36" s="96"/>
      <c r="B36" s="98" t="s">
        <v>256</v>
      </c>
      <c r="C36" s="96" t="s">
        <v>253</v>
      </c>
      <c r="D36" s="98" t="s">
        <v>236</v>
      </c>
      <c r="E36" s="96" t="s">
        <v>288</v>
      </c>
    </row>
    <row r="37" spans="1:5" x14ac:dyDescent="0.15">
      <c r="A37" s="96"/>
      <c r="B37" s="100" t="s">
        <v>267</v>
      </c>
      <c r="C37" s="100"/>
      <c r="D37" s="100"/>
      <c r="E37" s="100"/>
    </row>
    <row r="38" spans="1:5" x14ac:dyDescent="0.15">
      <c r="A38" s="96"/>
      <c r="B38" s="98" t="s">
        <v>245</v>
      </c>
      <c r="C38" s="96" t="s">
        <v>250</v>
      </c>
      <c r="D38" s="98" t="s">
        <v>479</v>
      </c>
      <c r="E38" s="96"/>
    </row>
    <row r="39" spans="1:5" x14ac:dyDescent="0.15">
      <c r="A39" s="96"/>
      <c r="B39" s="98" t="s">
        <v>247</v>
      </c>
      <c r="C39" s="96" t="s">
        <v>447</v>
      </c>
      <c r="D39" s="98" t="s">
        <v>480</v>
      </c>
      <c r="E39" s="96"/>
    </row>
    <row r="40" spans="1:5" x14ac:dyDescent="0.15">
      <c r="A40" s="96"/>
      <c r="B40" s="98" t="s">
        <v>257</v>
      </c>
      <c r="C40" s="96" t="s">
        <v>258</v>
      </c>
      <c r="D40" s="98" t="s">
        <v>481</v>
      </c>
      <c r="E40" s="96"/>
    </row>
    <row r="41" spans="1:5" x14ac:dyDescent="0.15">
      <c r="A41" s="96"/>
      <c r="B41" s="98" t="s">
        <v>261</v>
      </c>
      <c r="C41" s="96" t="s">
        <v>262</v>
      </c>
      <c r="D41" s="98" t="s">
        <v>482</v>
      </c>
      <c r="E41" s="96"/>
    </row>
    <row r="42" spans="1:5" x14ac:dyDescent="0.15">
      <c r="A42" s="96"/>
      <c r="B42" s="98" t="s">
        <v>451</v>
      </c>
      <c r="C42" s="96" t="s">
        <v>519</v>
      </c>
      <c r="D42" s="104">
        <v>20220714</v>
      </c>
      <c r="E42" s="96"/>
    </row>
    <row r="43" spans="1:5" x14ac:dyDescent="0.15">
      <c r="A43" s="96"/>
      <c r="B43" s="98" t="s">
        <v>278</v>
      </c>
      <c r="C43" s="98"/>
      <c r="D43" s="99" t="s">
        <v>483</v>
      </c>
      <c r="E43" s="96" t="s">
        <v>496</v>
      </c>
    </row>
    <row r="44" spans="1:5" ht="27" x14ac:dyDescent="0.15">
      <c r="A44" s="96"/>
      <c r="B44" s="99" t="s">
        <v>472</v>
      </c>
      <c r="C44" s="98"/>
      <c r="D44" s="99" t="s">
        <v>485</v>
      </c>
      <c r="E44" s="96"/>
    </row>
    <row r="45" spans="1:5" x14ac:dyDescent="0.15">
      <c r="A45" s="96"/>
      <c r="B45" s="96"/>
      <c r="C45" s="96"/>
      <c r="D45" s="96"/>
      <c r="E45" s="96"/>
    </row>
    <row r="46" spans="1:5" x14ac:dyDescent="0.15">
      <c r="A46" s="95" t="s">
        <v>486</v>
      </c>
      <c r="B46" s="97" t="s">
        <v>238</v>
      </c>
      <c r="C46" s="97" t="s">
        <v>259</v>
      </c>
      <c r="D46" s="97" t="s">
        <v>239</v>
      </c>
      <c r="E46" s="97" t="s">
        <v>240</v>
      </c>
    </row>
    <row r="47" spans="1:5" x14ac:dyDescent="0.15">
      <c r="A47" s="96"/>
      <c r="B47" s="98" t="s">
        <v>284</v>
      </c>
      <c r="C47" s="96"/>
      <c r="D47" s="98" t="s">
        <v>487</v>
      </c>
      <c r="E47" s="96"/>
    </row>
    <row r="48" spans="1:5" x14ac:dyDescent="0.15">
      <c r="A48" s="96"/>
      <c r="B48" s="98" t="s">
        <v>475</v>
      </c>
      <c r="C48" s="96"/>
      <c r="D48" s="98" t="s">
        <v>330</v>
      </c>
      <c r="E48" s="96"/>
    </row>
    <row r="49" spans="1:5" x14ac:dyDescent="0.15">
      <c r="A49" s="96"/>
      <c r="B49" s="98" t="s">
        <v>232</v>
      </c>
      <c r="C49" s="96"/>
      <c r="D49" s="98" t="s">
        <v>488</v>
      </c>
      <c r="E49" s="96"/>
    </row>
    <row r="50" spans="1:5" x14ac:dyDescent="0.15">
      <c r="A50" s="96"/>
      <c r="B50" s="98" t="s">
        <v>234</v>
      </c>
      <c r="C50" s="96"/>
      <c r="D50" s="98" t="s">
        <v>489</v>
      </c>
      <c r="E50" s="96"/>
    </row>
    <row r="51" spans="1:5" x14ac:dyDescent="0.15">
      <c r="A51" s="96"/>
      <c r="B51" s="98" t="s">
        <v>249</v>
      </c>
      <c r="C51" s="96"/>
      <c r="D51" s="98"/>
      <c r="E51" s="96"/>
    </row>
    <row r="52" spans="1:5" x14ac:dyDescent="0.15">
      <c r="A52" s="96"/>
      <c r="B52" s="98" t="s">
        <v>255</v>
      </c>
      <c r="C52" s="96" t="s">
        <v>252</v>
      </c>
      <c r="D52" s="98" t="s">
        <v>442</v>
      </c>
      <c r="E52" s="96"/>
    </row>
    <row r="53" spans="1:5" x14ac:dyDescent="0.15">
      <c r="A53" s="96"/>
      <c r="B53" s="98" t="s">
        <v>254</v>
      </c>
      <c r="C53" s="96" t="s">
        <v>251</v>
      </c>
      <c r="D53" s="98" t="s">
        <v>490</v>
      </c>
      <c r="E53" s="96"/>
    </row>
    <row r="54" spans="1:5" x14ac:dyDescent="0.15">
      <c r="A54" s="96"/>
      <c r="B54" s="98" t="s">
        <v>256</v>
      </c>
      <c r="C54" s="96" t="s">
        <v>253</v>
      </c>
      <c r="D54" s="98" t="s">
        <v>236</v>
      </c>
      <c r="E54" s="96"/>
    </row>
    <row r="55" spans="1:5" x14ac:dyDescent="0.15">
      <c r="A55" s="96"/>
      <c r="B55" s="100" t="s">
        <v>267</v>
      </c>
      <c r="C55" s="100"/>
      <c r="D55" s="100"/>
      <c r="E55" s="100"/>
    </row>
    <row r="56" spans="1:5" x14ac:dyDescent="0.15">
      <c r="A56" s="96"/>
      <c r="B56" s="98" t="s">
        <v>245</v>
      </c>
      <c r="C56" s="96" t="s">
        <v>250</v>
      </c>
      <c r="D56" s="98" t="s">
        <v>491</v>
      </c>
      <c r="E56" s="96"/>
    </row>
    <row r="57" spans="1:5" x14ac:dyDescent="0.15">
      <c r="A57" s="96"/>
      <c r="B57" s="98" t="s">
        <v>247</v>
      </c>
      <c r="C57" s="96" t="s">
        <v>447</v>
      </c>
      <c r="D57" s="98" t="s">
        <v>492</v>
      </c>
      <c r="E57" s="96"/>
    </row>
    <row r="58" spans="1:5" x14ac:dyDescent="0.15">
      <c r="A58" s="96"/>
      <c r="B58" s="98" t="s">
        <v>257</v>
      </c>
      <c r="C58" s="96" t="s">
        <v>258</v>
      </c>
      <c r="D58" s="98" t="s">
        <v>493</v>
      </c>
      <c r="E58" s="96"/>
    </row>
    <row r="59" spans="1:5" x14ac:dyDescent="0.15">
      <c r="A59" s="96"/>
      <c r="B59" s="98" t="s">
        <v>261</v>
      </c>
      <c r="C59" s="96" t="s">
        <v>262</v>
      </c>
      <c r="D59" s="98" t="s">
        <v>494</v>
      </c>
      <c r="E59" s="96"/>
    </row>
    <row r="60" spans="1:5" x14ac:dyDescent="0.15">
      <c r="A60" s="96"/>
      <c r="B60" s="98" t="s">
        <v>451</v>
      </c>
      <c r="C60" s="96" t="s">
        <v>519</v>
      </c>
      <c r="D60" s="104">
        <v>20220802</v>
      </c>
      <c r="E60" s="96"/>
    </row>
    <row r="61" spans="1:5" x14ac:dyDescent="0.15">
      <c r="A61" s="96"/>
      <c r="B61" s="98" t="s">
        <v>278</v>
      </c>
      <c r="C61" s="98"/>
      <c r="D61" s="99" t="s">
        <v>495</v>
      </c>
      <c r="E61" s="96" t="s">
        <v>522</v>
      </c>
    </row>
    <row r="62" spans="1:5" ht="27" x14ac:dyDescent="0.15">
      <c r="A62" s="96"/>
      <c r="B62" s="99" t="s">
        <v>472</v>
      </c>
      <c r="C62" s="98"/>
      <c r="D62" s="99"/>
      <c r="E62" s="96"/>
    </row>
    <row r="63" spans="1:5" x14ac:dyDescent="0.15">
      <c r="A63" s="96"/>
      <c r="B63" s="98" t="s">
        <v>268</v>
      </c>
      <c r="C63" s="96"/>
      <c r="D63" s="98" t="s">
        <v>497</v>
      </c>
      <c r="E63" s="96" t="s">
        <v>501</v>
      </c>
    </row>
    <row r="64" spans="1:5" ht="27" x14ac:dyDescent="0.15">
      <c r="A64" s="96"/>
      <c r="B64" s="98"/>
      <c r="C64" s="98" t="s">
        <v>452</v>
      </c>
      <c r="D64" s="99" t="s">
        <v>498</v>
      </c>
      <c r="E64" s="96"/>
    </row>
    <row r="65" spans="1:5" ht="27" x14ac:dyDescent="0.15">
      <c r="A65" s="96"/>
      <c r="B65" s="98"/>
      <c r="C65" s="98" t="s">
        <v>443</v>
      </c>
      <c r="D65" s="99" t="s">
        <v>499</v>
      </c>
      <c r="E65" s="96"/>
    </row>
    <row r="66" spans="1:5" ht="27" x14ac:dyDescent="0.15">
      <c r="A66" s="96"/>
      <c r="B66" s="98"/>
      <c r="C66" s="98" t="s">
        <v>455</v>
      </c>
      <c r="D66" s="99" t="s">
        <v>456</v>
      </c>
      <c r="E66" s="96"/>
    </row>
    <row r="67" spans="1:5" x14ac:dyDescent="0.15">
      <c r="A67" s="96"/>
      <c r="B67" s="98"/>
      <c r="C67" s="98" t="s">
        <v>236</v>
      </c>
      <c r="D67" s="98"/>
      <c r="E67" s="96"/>
    </row>
    <row r="68" spans="1:5" x14ac:dyDescent="0.15">
      <c r="A68" s="96"/>
      <c r="B68" s="98" t="s">
        <v>243</v>
      </c>
      <c r="C68" s="96"/>
      <c r="D68" s="98" t="s">
        <v>503</v>
      </c>
      <c r="E68" s="96"/>
    </row>
    <row r="69" spans="1:5" x14ac:dyDescent="0.15">
      <c r="A69" s="96"/>
      <c r="B69" s="98" t="s">
        <v>504</v>
      </c>
      <c r="C69" s="96"/>
      <c r="D69" s="98" t="s">
        <v>505</v>
      </c>
      <c r="E69" s="96"/>
    </row>
    <row r="70" spans="1:5" ht="27" x14ac:dyDescent="0.15">
      <c r="A70" s="96"/>
      <c r="B70" s="99" t="s">
        <v>472</v>
      </c>
      <c r="C70" s="96"/>
      <c r="D70" s="98" t="s">
        <v>506</v>
      </c>
      <c r="E70" s="96"/>
    </row>
    <row r="71" spans="1:5" x14ac:dyDescent="0.15">
      <c r="A71" s="96"/>
      <c r="B71" s="98" t="s">
        <v>243</v>
      </c>
      <c r="C71" s="96"/>
      <c r="D71" s="98" t="s">
        <v>507</v>
      </c>
      <c r="E71" s="96"/>
    </row>
    <row r="72" spans="1:5" x14ac:dyDescent="0.15">
      <c r="A72" s="96"/>
      <c r="B72" s="98" t="s">
        <v>504</v>
      </c>
      <c r="C72" s="96"/>
      <c r="D72" s="98" t="s">
        <v>505</v>
      </c>
      <c r="E72" s="96"/>
    </row>
    <row r="73" spans="1:5" ht="27" x14ac:dyDescent="0.15">
      <c r="A73" s="96"/>
      <c r="B73" s="99" t="s">
        <v>472</v>
      </c>
      <c r="C73" s="96"/>
      <c r="D73" s="98" t="s">
        <v>508</v>
      </c>
      <c r="E73" s="96"/>
    </row>
    <row r="74" spans="1:5" x14ac:dyDescent="0.15">
      <c r="A74" s="96"/>
      <c r="B74" s="98" t="s">
        <v>243</v>
      </c>
      <c r="C74" s="96"/>
      <c r="D74" s="98" t="s">
        <v>509</v>
      </c>
      <c r="E74" s="96"/>
    </row>
    <row r="75" spans="1:5" x14ac:dyDescent="0.15">
      <c r="A75" s="96"/>
      <c r="B75" s="98" t="s">
        <v>504</v>
      </c>
      <c r="C75" s="96"/>
      <c r="D75" s="98" t="s">
        <v>505</v>
      </c>
      <c r="E75" s="96"/>
    </row>
    <row r="76" spans="1:5" ht="27" x14ac:dyDescent="0.15">
      <c r="A76" s="96"/>
      <c r="B76" s="99" t="s">
        <v>472</v>
      </c>
      <c r="C76" s="96"/>
      <c r="D76" s="98" t="s">
        <v>510</v>
      </c>
      <c r="E76" s="96"/>
    </row>
    <row r="77" spans="1:5" x14ac:dyDescent="0.15">
      <c r="A77" s="96"/>
      <c r="B77" s="96"/>
      <c r="C77" s="96"/>
      <c r="D77" s="96"/>
      <c r="E77" s="96"/>
    </row>
    <row r="78" spans="1:5" x14ac:dyDescent="0.15">
      <c r="A78" s="95" t="s">
        <v>511</v>
      </c>
      <c r="B78" s="97" t="s">
        <v>238</v>
      </c>
      <c r="C78" s="97" t="s">
        <v>259</v>
      </c>
      <c r="D78" s="97" t="s">
        <v>239</v>
      </c>
      <c r="E78" s="97" t="s">
        <v>240</v>
      </c>
    </row>
    <row r="79" spans="1:5" x14ac:dyDescent="0.15">
      <c r="A79" s="96"/>
      <c r="B79" s="98" t="s">
        <v>284</v>
      </c>
      <c r="C79" s="96"/>
      <c r="D79" s="98" t="s">
        <v>487</v>
      </c>
      <c r="E79" s="96"/>
    </row>
    <row r="80" spans="1:5" x14ac:dyDescent="0.15">
      <c r="A80" s="96"/>
      <c r="B80" s="98" t="s">
        <v>475</v>
      </c>
      <c r="C80" s="96"/>
      <c r="D80" s="98" t="s">
        <v>330</v>
      </c>
      <c r="E80" s="96"/>
    </row>
    <row r="81" spans="1:5" x14ac:dyDescent="0.15">
      <c r="A81" s="96"/>
      <c r="B81" s="98" t="s">
        <v>232</v>
      </c>
      <c r="C81" s="96"/>
      <c r="D81" s="98" t="s">
        <v>295</v>
      </c>
      <c r="E81" s="103" t="s">
        <v>512</v>
      </c>
    </row>
    <row r="82" spans="1:5" x14ac:dyDescent="0.15">
      <c r="A82" s="96"/>
      <c r="B82" s="98" t="s">
        <v>234</v>
      </c>
      <c r="C82" s="96"/>
      <c r="D82" s="98" t="s">
        <v>513</v>
      </c>
      <c r="E82" s="96"/>
    </row>
    <row r="83" spans="1:5" x14ac:dyDescent="0.15">
      <c r="A83" s="96"/>
      <c r="B83" s="98" t="s">
        <v>255</v>
      </c>
      <c r="C83" s="96" t="s">
        <v>252</v>
      </c>
      <c r="D83" s="98" t="s">
        <v>442</v>
      </c>
      <c r="E83" s="96"/>
    </row>
    <row r="84" spans="1:5" x14ac:dyDescent="0.15">
      <c r="A84" s="96"/>
      <c r="B84" s="98" t="s">
        <v>254</v>
      </c>
      <c r="C84" s="96" t="s">
        <v>251</v>
      </c>
      <c r="D84" s="98" t="s">
        <v>514</v>
      </c>
      <c r="E84" s="96"/>
    </row>
    <row r="85" spans="1:5" x14ac:dyDescent="0.15">
      <c r="A85" s="96"/>
      <c r="B85" s="98" t="s">
        <v>256</v>
      </c>
      <c r="C85" s="96" t="s">
        <v>253</v>
      </c>
      <c r="D85" s="98" t="s">
        <v>236</v>
      </c>
      <c r="E85" s="96"/>
    </row>
    <row r="86" spans="1:5" x14ac:dyDescent="0.15">
      <c r="A86" s="96"/>
      <c r="B86" s="100" t="s">
        <v>267</v>
      </c>
      <c r="C86" s="100"/>
      <c r="D86" s="100"/>
      <c r="E86" s="100"/>
    </row>
    <row r="87" spans="1:5" x14ac:dyDescent="0.15">
      <c r="A87" s="96"/>
      <c r="B87" s="98" t="s">
        <v>245</v>
      </c>
      <c r="C87" s="96" t="s">
        <v>250</v>
      </c>
      <c r="D87" s="98" t="s">
        <v>515</v>
      </c>
      <c r="E87" s="96"/>
    </row>
    <row r="88" spans="1:5" x14ac:dyDescent="0.15">
      <c r="A88" s="96"/>
      <c r="B88" s="98" t="s">
        <v>247</v>
      </c>
      <c r="C88" s="96" t="s">
        <v>447</v>
      </c>
      <c r="D88" s="98" t="s">
        <v>516</v>
      </c>
      <c r="E88" s="96"/>
    </row>
    <row r="89" spans="1:5" x14ac:dyDescent="0.15">
      <c r="A89" s="96"/>
      <c r="B89" s="98" t="s">
        <v>257</v>
      </c>
      <c r="C89" s="96" t="s">
        <v>258</v>
      </c>
      <c r="D89" s="98" t="s">
        <v>517</v>
      </c>
      <c r="E89" s="96"/>
    </row>
    <row r="90" spans="1:5" x14ac:dyDescent="0.15">
      <c r="A90" s="96"/>
      <c r="B90" s="98" t="s">
        <v>261</v>
      </c>
      <c r="C90" s="96" t="s">
        <v>262</v>
      </c>
      <c r="D90" s="98" t="s">
        <v>518</v>
      </c>
      <c r="E90" s="96"/>
    </row>
    <row r="91" spans="1:5" x14ac:dyDescent="0.15">
      <c r="A91" s="96"/>
      <c r="B91" s="98" t="s">
        <v>451</v>
      </c>
      <c r="C91" s="96" t="s">
        <v>519</v>
      </c>
      <c r="D91" s="104">
        <v>20220802</v>
      </c>
      <c r="E91" s="96"/>
    </row>
    <row r="92" spans="1:5" x14ac:dyDescent="0.15">
      <c r="A92" s="96"/>
      <c r="B92" s="98" t="s">
        <v>278</v>
      </c>
      <c r="C92" s="98"/>
      <c r="D92" s="99" t="s">
        <v>521</v>
      </c>
      <c r="E92" s="96" t="s">
        <v>523</v>
      </c>
    </row>
    <row r="93" spans="1:5" x14ac:dyDescent="0.15">
      <c r="A93" s="96"/>
      <c r="B93" s="98" t="s">
        <v>243</v>
      </c>
      <c r="C93" s="96"/>
      <c r="D93" s="98" t="s">
        <v>524</v>
      </c>
      <c r="E93" s="103" t="s">
        <v>525</v>
      </c>
    </row>
    <row r="94" spans="1:5" ht="27" x14ac:dyDescent="0.15">
      <c r="A94" s="96"/>
      <c r="B94" s="99" t="s">
        <v>472</v>
      </c>
      <c r="C94" s="96"/>
      <c r="D94" s="98" t="s">
        <v>526</v>
      </c>
      <c r="E94" s="96"/>
    </row>
    <row r="95" spans="1:5" x14ac:dyDescent="0.15">
      <c r="A95" s="96"/>
      <c r="B95" s="98" t="s">
        <v>243</v>
      </c>
      <c r="C95" s="96"/>
      <c r="D95" s="98" t="s">
        <v>527</v>
      </c>
      <c r="E95" s="96"/>
    </row>
    <row r="96" spans="1:5" x14ac:dyDescent="0.15">
      <c r="A96" s="96"/>
      <c r="B96" s="98" t="s">
        <v>504</v>
      </c>
      <c r="C96" s="96"/>
      <c r="D96" s="98" t="s">
        <v>528</v>
      </c>
      <c r="E96" s="96"/>
    </row>
    <row r="97" spans="1:5" ht="27" x14ac:dyDescent="0.15">
      <c r="A97" s="96"/>
      <c r="B97" s="99" t="s">
        <v>472</v>
      </c>
      <c r="C97" s="96"/>
      <c r="D97" s="98" t="s">
        <v>529</v>
      </c>
      <c r="E97" s="96"/>
    </row>
    <row r="98" spans="1:5" x14ac:dyDescent="0.15">
      <c r="A98" s="96"/>
      <c r="B98" s="98" t="s">
        <v>243</v>
      </c>
      <c r="C98" s="96"/>
      <c r="D98" s="114" t="s">
        <v>530</v>
      </c>
      <c r="E98" s="96"/>
    </row>
    <row r="99" spans="1:5" x14ac:dyDescent="0.15">
      <c r="A99" s="96"/>
      <c r="B99" s="98" t="s">
        <v>504</v>
      </c>
      <c r="C99" s="96"/>
      <c r="D99" s="98" t="s">
        <v>531</v>
      </c>
      <c r="E99" s="96"/>
    </row>
    <row r="100" spans="1:5" ht="27" x14ac:dyDescent="0.15">
      <c r="A100" s="96"/>
      <c r="B100" s="99" t="s">
        <v>472</v>
      </c>
      <c r="C100" s="96"/>
      <c r="D100" s="98" t="s">
        <v>532</v>
      </c>
      <c r="E100" s="96"/>
    </row>
    <row r="101" spans="1:5" x14ac:dyDescent="0.15">
      <c r="A101" s="96"/>
      <c r="B101" s="98" t="s">
        <v>243</v>
      </c>
      <c r="C101" s="96"/>
      <c r="D101" s="113" t="s">
        <v>533</v>
      </c>
      <c r="E101" s="96"/>
    </row>
    <row r="102" spans="1:5" x14ac:dyDescent="0.15">
      <c r="A102" s="96"/>
      <c r="B102" s="98" t="s">
        <v>504</v>
      </c>
      <c r="C102" s="96"/>
      <c r="D102" s="98" t="s">
        <v>531</v>
      </c>
      <c r="E102" s="96"/>
    </row>
    <row r="103" spans="1:5" ht="27" x14ac:dyDescent="0.15">
      <c r="A103" s="96"/>
      <c r="B103" s="99" t="s">
        <v>472</v>
      </c>
      <c r="C103" s="96"/>
      <c r="D103" s="98" t="s">
        <v>534</v>
      </c>
      <c r="E103" s="96"/>
    </row>
    <row r="104" spans="1:5" x14ac:dyDescent="0.15">
      <c r="A104" s="96"/>
      <c r="B104" s="98" t="s">
        <v>243</v>
      </c>
      <c r="C104" s="96"/>
      <c r="D104" s="113" t="s">
        <v>536</v>
      </c>
      <c r="E104" s="96"/>
    </row>
    <row r="105" spans="1:5" x14ac:dyDescent="0.15">
      <c r="A105" s="96"/>
      <c r="B105" s="98" t="s">
        <v>504</v>
      </c>
      <c r="C105" s="96"/>
      <c r="D105" s="98" t="s">
        <v>531</v>
      </c>
      <c r="E105" s="96"/>
    </row>
    <row r="106" spans="1:5" ht="27" x14ac:dyDescent="0.15">
      <c r="A106" s="96"/>
      <c r="B106" s="99" t="s">
        <v>472</v>
      </c>
      <c r="C106" s="96"/>
      <c r="D106" s="98" t="s">
        <v>535</v>
      </c>
      <c r="E106" s="96"/>
    </row>
    <row r="107" spans="1:5" x14ac:dyDescent="0.15">
      <c r="A107" s="96"/>
      <c r="B107" s="98" t="s">
        <v>243</v>
      </c>
      <c r="C107" s="96"/>
      <c r="D107" s="113" t="s">
        <v>537</v>
      </c>
      <c r="E107" s="96"/>
    </row>
    <row r="108" spans="1:5" x14ac:dyDescent="0.15">
      <c r="A108" s="96"/>
      <c r="B108" s="98" t="s">
        <v>504</v>
      </c>
      <c r="C108" s="96"/>
      <c r="D108" s="98" t="s">
        <v>531</v>
      </c>
      <c r="E108" s="96"/>
    </row>
    <row r="109" spans="1:5" ht="27" x14ac:dyDescent="0.15">
      <c r="A109" s="96"/>
      <c r="B109" s="99" t="s">
        <v>472</v>
      </c>
      <c r="C109" s="96"/>
      <c r="D109" s="98" t="s">
        <v>538</v>
      </c>
      <c r="E109" s="96"/>
    </row>
    <row r="110" spans="1:5" x14ac:dyDescent="0.15">
      <c r="A110" s="96"/>
      <c r="B110" s="98" t="s">
        <v>243</v>
      </c>
      <c r="C110" s="96"/>
      <c r="D110" s="113" t="s">
        <v>539</v>
      </c>
      <c r="E110" s="96"/>
    </row>
    <row r="111" spans="1:5" x14ac:dyDescent="0.15">
      <c r="A111" s="96"/>
      <c r="B111" s="98" t="s">
        <v>504</v>
      </c>
      <c r="C111" s="96"/>
      <c r="D111" s="98" t="s">
        <v>531</v>
      </c>
      <c r="E111" s="96"/>
    </row>
    <row r="112" spans="1:5" ht="27" x14ac:dyDescent="0.15">
      <c r="A112" s="96"/>
      <c r="B112" s="99" t="s">
        <v>472</v>
      </c>
      <c r="C112" s="96"/>
      <c r="D112" s="98" t="s">
        <v>547</v>
      </c>
      <c r="E112" s="96"/>
    </row>
    <row r="113" spans="1:5" x14ac:dyDescent="0.15">
      <c r="A113" s="96"/>
      <c r="B113" s="99"/>
      <c r="C113" s="96"/>
      <c r="D113" s="98"/>
      <c r="E113" s="96"/>
    </row>
    <row r="114" spans="1:5" x14ac:dyDescent="0.15">
      <c r="A114" s="96"/>
      <c r="B114" s="98" t="s">
        <v>243</v>
      </c>
      <c r="C114" s="96"/>
      <c r="D114" s="113" t="s">
        <v>540</v>
      </c>
      <c r="E114" s="96"/>
    </row>
    <row r="115" spans="1:5" x14ac:dyDescent="0.15">
      <c r="A115" s="96"/>
      <c r="B115" s="98" t="s">
        <v>504</v>
      </c>
      <c r="C115" s="96"/>
      <c r="D115" s="98" t="s">
        <v>531</v>
      </c>
      <c r="E115" s="96"/>
    </row>
    <row r="116" spans="1:5" ht="27" x14ac:dyDescent="0.15">
      <c r="A116" s="96"/>
      <c r="B116" s="99" t="s">
        <v>472</v>
      </c>
      <c r="C116" s="96"/>
      <c r="D116" s="98" t="s">
        <v>548</v>
      </c>
      <c r="E116" s="96"/>
    </row>
    <row r="117" spans="1:5" x14ac:dyDescent="0.15">
      <c r="A117" s="96"/>
      <c r="B117" s="98" t="s">
        <v>243</v>
      </c>
      <c r="C117" s="96"/>
      <c r="D117" s="113" t="s">
        <v>541</v>
      </c>
      <c r="E117" s="96"/>
    </row>
    <row r="118" spans="1:5" x14ac:dyDescent="0.15">
      <c r="A118" s="96"/>
      <c r="B118" s="98" t="s">
        <v>504</v>
      </c>
      <c r="C118" s="96"/>
      <c r="D118" s="98" t="s">
        <v>531</v>
      </c>
      <c r="E118" s="96"/>
    </row>
    <row r="119" spans="1:5" ht="27" x14ac:dyDescent="0.15">
      <c r="A119" s="96"/>
      <c r="B119" s="99" t="s">
        <v>472</v>
      </c>
      <c r="C119" s="96"/>
      <c r="D119" s="98" t="s">
        <v>549</v>
      </c>
      <c r="E119" s="96"/>
    </row>
    <row r="120" spans="1:5" x14ac:dyDescent="0.15">
      <c r="A120" s="96"/>
      <c r="B120" s="98" t="s">
        <v>243</v>
      </c>
      <c r="C120" s="96"/>
      <c r="D120" s="113" t="s">
        <v>542</v>
      </c>
      <c r="E120" s="96"/>
    </row>
    <row r="121" spans="1:5" x14ac:dyDescent="0.15">
      <c r="A121" s="96"/>
      <c r="B121" s="98" t="s">
        <v>504</v>
      </c>
      <c r="C121" s="96"/>
      <c r="D121" s="98" t="s">
        <v>531</v>
      </c>
      <c r="E121" s="96"/>
    </row>
    <row r="122" spans="1:5" ht="27" x14ac:dyDescent="0.15">
      <c r="A122" s="96"/>
      <c r="B122" s="99" t="s">
        <v>472</v>
      </c>
      <c r="C122" s="96"/>
      <c r="D122" s="98" t="s">
        <v>550</v>
      </c>
      <c r="E122" s="96"/>
    </row>
    <row r="123" spans="1:5" x14ac:dyDescent="0.15">
      <c r="A123" s="96"/>
      <c r="B123" s="98" t="s">
        <v>243</v>
      </c>
      <c r="C123" s="96"/>
      <c r="D123" s="113" t="s">
        <v>543</v>
      </c>
      <c r="E123" s="96"/>
    </row>
    <row r="124" spans="1:5" x14ac:dyDescent="0.15">
      <c r="A124" s="96"/>
      <c r="B124" s="98" t="s">
        <v>504</v>
      </c>
      <c r="C124" s="96"/>
      <c r="D124" s="98" t="s">
        <v>531</v>
      </c>
      <c r="E124" s="96"/>
    </row>
    <row r="125" spans="1:5" ht="27" x14ac:dyDescent="0.15">
      <c r="A125" s="96"/>
      <c r="B125" s="99" t="s">
        <v>472</v>
      </c>
      <c r="C125" s="96"/>
      <c r="D125" s="98" t="s">
        <v>551</v>
      </c>
      <c r="E125" s="96"/>
    </row>
    <row r="126" spans="1:5" x14ac:dyDescent="0.15">
      <c r="A126" s="96"/>
      <c r="B126" s="98" t="s">
        <v>243</v>
      </c>
      <c r="C126" s="96"/>
      <c r="D126" s="113" t="s">
        <v>544</v>
      </c>
      <c r="E126" s="96"/>
    </row>
    <row r="127" spans="1:5" x14ac:dyDescent="0.15">
      <c r="A127" s="96"/>
      <c r="B127" s="98" t="s">
        <v>504</v>
      </c>
      <c r="C127" s="96"/>
      <c r="D127" s="98" t="s">
        <v>531</v>
      </c>
      <c r="E127" s="96"/>
    </row>
    <row r="128" spans="1:5" ht="27" x14ac:dyDescent="0.15">
      <c r="A128" s="96"/>
      <c r="B128" s="99" t="s">
        <v>472</v>
      </c>
      <c r="C128" s="96"/>
      <c r="D128" s="98" t="s">
        <v>552</v>
      </c>
      <c r="E128" s="96"/>
    </row>
    <row r="129" spans="1:5" x14ac:dyDescent="0.15">
      <c r="A129" s="96"/>
      <c r="B129" s="98" t="s">
        <v>243</v>
      </c>
      <c r="C129" s="96"/>
      <c r="D129" s="113" t="s">
        <v>545</v>
      </c>
      <c r="E129" s="96"/>
    </row>
    <row r="130" spans="1:5" x14ac:dyDescent="0.15">
      <c r="A130" s="96"/>
      <c r="B130" s="98" t="s">
        <v>504</v>
      </c>
      <c r="C130" s="96"/>
      <c r="D130" s="98" t="s">
        <v>531</v>
      </c>
      <c r="E130" s="96"/>
    </row>
    <row r="131" spans="1:5" ht="27" x14ac:dyDescent="0.15">
      <c r="A131" s="96"/>
      <c r="B131" s="99" t="s">
        <v>472</v>
      </c>
      <c r="C131" s="96"/>
      <c r="D131" s="98" t="s">
        <v>553</v>
      </c>
      <c r="E131" s="96"/>
    </row>
    <row r="132" spans="1:5" x14ac:dyDescent="0.15">
      <c r="A132" s="96"/>
      <c r="B132" s="98" t="s">
        <v>243</v>
      </c>
      <c r="C132" s="96"/>
      <c r="D132" s="113" t="s">
        <v>546</v>
      </c>
      <c r="E132" s="96"/>
    </row>
    <row r="133" spans="1:5" x14ac:dyDescent="0.15">
      <c r="A133" s="96"/>
      <c r="B133" s="98" t="s">
        <v>504</v>
      </c>
      <c r="C133" s="96"/>
      <c r="D133" s="98" t="s">
        <v>531</v>
      </c>
      <c r="E133" s="96"/>
    </row>
    <row r="134" spans="1:5" ht="27" x14ac:dyDescent="0.15">
      <c r="A134" s="96"/>
      <c r="B134" s="99" t="s">
        <v>472</v>
      </c>
      <c r="C134" s="96"/>
      <c r="D134" s="98" t="s">
        <v>554</v>
      </c>
      <c r="E134" s="96"/>
    </row>
  </sheetData>
  <mergeCells count="5">
    <mergeCell ref="A1:E1"/>
    <mergeCell ref="B37:E37"/>
    <mergeCell ref="B55:E55"/>
    <mergeCell ref="B86:E86"/>
    <mergeCell ref="B9:E9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opLeftCell="A139" workbookViewId="0">
      <selection activeCell="D159" sqref="D159"/>
    </sheetView>
  </sheetViews>
  <sheetFormatPr defaultRowHeight="13.5" x14ac:dyDescent="0.15"/>
  <cols>
    <col min="2" max="2" width="14.77734375" customWidth="1"/>
    <col min="3" max="3" width="16.109375" customWidth="1"/>
    <col min="4" max="4" width="21.33203125" bestFit="1" customWidth="1"/>
    <col min="5" max="5" width="38.77734375" customWidth="1"/>
  </cols>
  <sheetData>
    <row r="1" spans="1:5" ht="18.75" x14ac:dyDescent="0.25">
      <c r="A1" s="112" t="s">
        <v>438</v>
      </c>
      <c r="B1" s="112"/>
      <c r="C1" s="112"/>
      <c r="D1" s="112"/>
      <c r="E1" s="112"/>
    </row>
    <row r="2" spans="1:5" x14ac:dyDescent="0.15">
      <c r="B2" s="96"/>
      <c r="C2" s="96"/>
      <c r="D2" s="96"/>
      <c r="E2" s="96"/>
    </row>
    <row r="3" spans="1:5" x14ac:dyDescent="0.15">
      <c r="A3" s="95" t="s">
        <v>229</v>
      </c>
      <c r="B3" s="97" t="s">
        <v>238</v>
      </c>
      <c r="C3" s="97" t="s">
        <v>259</v>
      </c>
      <c r="D3" s="97" t="s">
        <v>239</v>
      </c>
      <c r="E3" s="97" t="s">
        <v>240</v>
      </c>
    </row>
    <row r="4" spans="1:5" x14ac:dyDescent="0.15">
      <c r="A4" s="96"/>
      <c r="B4" s="98" t="s">
        <v>230</v>
      </c>
      <c r="C4" s="96"/>
      <c r="D4" s="98" t="s">
        <v>231</v>
      </c>
      <c r="E4" s="96"/>
    </row>
    <row r="5" spans="1:5" x14ac:dyDescent="0.15">
      <c r="A5" s="96"/>
      <c r="B5" s="98" t="s">
        <v>232</v>
      </c>
      <c r="C5" s="96"/>
      <c r="D5" s="98" t="s">
        <v>233</v>
      </c>
      <c r="E5" s="96" t="s">
        <v>285</v>
      </c>
    </row>
    <row r="6" spans="1:5" x14ac:dyDescent="0.15">
      <c r="A6" s="96"/>
      <c r="B6" s="98" t="s">
        <v>234</v>
      </c>
      <c r="C6" s="96"/>
      <c r="D6" s="98" t="s">
        <v>235</v>
      </c>
      <c r="E6" s="96"/>
    </row>
    <row r="7" spans="1:5" x14ac:dyDescent="0.15">
      <c r="A7" s="96"/>
      <c r="B7" s="98" t="s">
        <v>254</v>
      </c>
      <c r="C7" s="96" t="s">
        <v>251</v>
      </c>
      <c r="D7" s="98" t="s">
        <v>236</v>
      </c>
      <c r="E7" s="96" t="s">
        <v>288</v>
      </c>
    </row>
    <row r="8" spans="1:5" x14ac:dyDescent="0.15">
      <c r="A8" s="96"/>
      <c r="B8" s="98" t="s">
        <v>255</v>
      </c>
      <c r="C8" s="96" t="s">
        <v>252</v>
      </c>
      <c r="D8" s="98" t="s">
        <v>237</v>
      </c>
      <c r="E8" s="96" t="s">
        <v>289</v>
      </c>
    </row>
    <row r="9" spans="1:5" x14ac:dyDescent="0.15">
      <c r="A9" s="96"/>
      <c r="B9" s="98" t="s">
        <v>256</v>
      </c>
      <c r="C9" s="96" t="s">
        <v>253</v>
      </c>
      <c r="D9" s="98" t="s">
        <v>237</v>
      </c>
      <c r="E9" s="96" t="s">
        <v>289</v>
      </c>
    </row>
    <row r="10" spans="1:5" x14ac:dyDescent="0.15">
      <c r="A10" s="96"/>
      <c r="B10" s="98" t="s">
        <v>241</v>
      </c>
      <c r="C10" s="96"/>
      <c r="D10" s="98" t="s">
        <v>242</v>
      </c>
      <c r="E10" s="96"/>
    </row>
    <row r="11" spans="1:5" x14ac:dyDescent="0.15">
      <c r="A11" s="96"/>
      <c r="B11" s="98" t="s">
        <v>243</v>
      </c>
      <c r="C11" s="96"/>
      <c r="D11" s="98" t="s">
        <v>242</v>
      </c>
      <c r="E11" s="96" t="s">
        <v>286</v>
      </c>
    </row>
    <row r="12" spans="1:5" x14ac:dyDescent="0.15">
      <c r="A12" s="96"/>
      <c r="B12" s="98" t="s">
        <v>278</v>
      </c>
      <c r="C12" s="96"/>
      <c r="D12" s="98" t="s">
        <v>279</v>
      </c>
      <c r="E12" s="96" t="s">
        <v>280</v>
      </c>
    </row>
    <row r="13" spans="1:5" x14ac:dyDescent="0.15">
      <c r="A13" s="96"/>
      <c r="B13" s="98"/>
      <c r="C13" s="96"/>
      <c r="D13" s="98" t="s">
        <v>281</v>
      </c>
      <c r="E13" s="96" t="s">
        <v>339</v>
      </c>
    </row>
    <row r="14" spans="1:5" ht="27" x14ac:dyDescent="0.15">
      <c r="A14" s="96"/>
      <c r="B14" s="99" t="s">
        <v>346</v>
      </c>
      <c r="C14" s="96"/>
      <c r="D14" s="98" t="s">
        <v>282</v>
      </c>
      <c r="E14" s="96"/>
    </row>
    <row r="15" spans="1:5" x14ac:dyDescent="0.15">
      <c r="A15" s="96"/>
      <c r="B15" s="100" t="s">
        <v>267</v>
      </c>
      <c r="C15" s="100"/>
      <c r="D15" s="100"/>
      <c r="E15" s="100"/>
    </row>
    <row r="16" spans="1:5" x14ac:dyDescent="0.15">
      <c r="A16" s="96"/>
      <c r="B16" s="98" t="s">
        <v>245</v>
      </c>
      <c r="C16" s="96" t="s">
        <v>250</v>
      </c>
      <c r="D16" s="98" t="s">
        <v>246</v>
      </c>
      <c r="E16" s="96"/>
    </row>
    <row r="17" spans="1:5" x14ac:dyDescent="0.15">
      <c r="A17" s="96"/>
      <c r="B17" s="98" t="s">
        <v>247</v>
      </c>
      <c r="C17" s="96" t="s">
        <v>447</v>
      </c>
      <c r="D17" s="98" t="s">
        <v>248</v>
      </c>
      <c r="E17" s="96"/>
    </row>
    <row r="18" spans="1:5" x14ac:dyDescent="0.15">
      <c r="A18" s="96"/>
      <c r="B18" s="98" t="s">
        <v>257</v>
      </c>
      <c r="C18" s="96" t="s">
        <v>258</v>
      </c>
      <c r="D18" s="98" t="s">
        <v>260</v>
      </c>
      <c r="E18" s="96"/>
    </row>
    <row r="19" spans="1:5" x14ac:dyDescent="0.15">
      <c r="A19" s="96"/>
      <c r="B19" s="98" t="s">
        <v>261</v>
      </c>
      <c r="C19" s="96" t="s">
        <v>262</v>
      </c>
      <c r="D19" s="98" t="s">
        <v>263</v>
      </c>
      <c r="E19" s="96"/>
    </row>
    <row r="20" spans="1:5" x14ac:dyDescent="0.15">
      <c r="A20" s="96"/>
      <c r="B20" s="98" t="s">
        <v>264</v>
      </c>
      <c r="C20" s="96" t="s">
        <v>265</v>
      </c>
      <c r="D20" s="98" t="s">
        <v>266</v>
      </c>
      <c r="E20" s="96"/>
    </row>
    <row r="21" spans="1:5" x14ac:dyDescent="0.15">
      <c r="A21" s="96"/>
      <c r="B21" s="98" t="s">
        <v>268</v>
      </c>
      <c r="C21" s="96"/>
      <c r="D21" s="98" t="s">
        <v>502</v>
      </c>
      <c r="E21" s="96" t="s">
        <v>501</v>
      </c>
    </row>
    <row r="22" spans="1:5" x14ac:dyDescent="0.15">
      <c r="A22" s="96"/>
      <c r="B22" s="98"/>
      <c r="C22" s="98" t="s">
        <v>272</v>
      </c>
      <c r="D22" s="98"/>
      <c r="E22" s="96" t="s">
        <v>288</v>
      </c>
    </row>
    <row r="23" spans="1:5" ht="27" x14ac:dyDescent="0.15">
      <c r="A23" s="96"/>
      <c r="B23" s="98"/>
      <c r="C23" s="98" t="s">
        <v>269</v>
      </c>
      <c r="D23" s="99" t="s">
        <v>270</v>
      </c>
      <c r="E23" s="96" t="s">
        <v>289</v>
      </c>
    </row>
    <row r="24" spans="1:5" ht="27" x14ac:dyDescent="0.15">
      <c r="A24" s="96"/>
      <c r="B24" s="98"/>
      <c r="C24" s="98" t="s">
        <v>271</v>
      </c>
      <c r="D24" s="99" t="s">
        <v>273</v>
      </c>
      <c r="E24" s="96" t="s">
        <v>290</v>
      </c>
    </row>
    <row r="25" spans="1:5" ht="27" x14ac:dyDescent="0.15">
      <c r="A25" s="96"/>
      <c r="B25" s="98"/>
      <c r="C25" s="98" t="s">
        <v>274</v>
      </c>
      <c r="D25" s="99" t="s">
        <v>275</v>
      </c>
      <c r="E25" s="96" t="s">
        <v>291</v>
      </c>
    </row>
    <row r="26" spans="1:5" ht="27" x14ac:dyDescent="0.15">
      <c r="A26" s="96"/>
      <c r="B26" s="98"/>
      <c r="C26" s="98" t="s">
        <v>276</v>
      </c>
      <c r="D26" s="99" t="s">
        <v>277</v>
      </c>
      <c r="E26" s="96" t="s">
        <v>292</v>
      </c>
    </row>
    <row r="27" spans="1:5" x14ac:dyDescent="0.15">
      <c r="A27" s="96"/>
      <c r="B27" s="96"/>
      <c r="C27" s="96"/>
      <c r="D27" s="96"/>
      <c r="E27" s="96"/>
    </row>
    <row r="28" spans="1:5" x14ac:dyDescent="0.15">
      <c r="A28" s="95" t="s">
        <v>283</v>
      </c>
      <c r="B28" s="97" t="s">
        <v>238</v>
      </c>
      <c r="C28" s="97" t="s">
        <v>259</v>
      </c>
      <c r="D28" s="97" t="s">
        <v>239</v>
      </c>
      <c r="E28" s="97" t="s">
        <v>240</v>
      </c>
    </row>
    <row r="29" spans="1:5" x14ac:dyDescent="0.15">
      <c r="A29" s="96"/>
      <c r="B29" s="98" t="s">
        <v>284</v>
      </c>
      <c r="C29" s="96"/>
      <c r="D29" s="98" t="s">
        <v>414</v>
      </c>
      <c r="E29" s="96"/>
    </row>
    <row r="30" spans="1:5" x14ac:dyDescent="0.15">
      <c r="A30" s="96"/>
      <c r="B30" s="98" t="s">
        <v>293</v>
      </c>
      <c r="C30" s="96"/>
      <c r="D30" s="98" t="s">
        <v>294</v>
      </c>
      <c r="E30" s="96"/>
    </row>
    <row r="31" spans="1:5" x14ac:dyDescent="0.15">
      <c r="A31" s="96"/>
      <c r="B31" s="98" t="s">
        <v>232</v>
      </c>
      <c r="C31" s="96"/>
      <c r="D31" s="98" t="s">
        <v>295</v>
      </c>
      <c r="E31" s="96" t="s">
        <v>287</v>
      </c>
    </row>
    <row r="32" spans="1:5" x14ac:dyDescent="0.15">
      <c r="A32" s="96"/>
      <c r="B32" s="98" t="s">
        <v>234</v>
      </c>
      <c r="C32" s="96"/>
      <c r="D32" s="98" t="s">
        <v>296</v>
      </c>
      <c r="E32" s="96"/>
    </row>
    <row r="33" spans="1:5" x14ac:dyDescent="0.15">
      <c r="A33" s="96"/>
      <c r="B33" s="98" t="s">
        <v>254</v>
      </c>
      <c r="C33" s="96" t="s">
        <v>251</v>
      </c>
      <c r="D33" s="98" t="s">
        <v>236</v>
      </c>
      <c r="E33" s="96" t="s">
        <v>288</v>
      </c>
    </row>
    <row r="34" spans="1:5" x14ac:dyDescent="0.15">
      <c r="A34" s="96"/>
      <c r="B34" s="98" t="s">
        <v>255</v>
      </c>
      <c r="C34" s="96" t="s">
        <v>252</v>
      </c>
      <c r="D34" s="98" t="s">
        <v>237</v>
      </c>
      <c r="E34" s="96" t="s">
        <v>289</v>
      </c>
    </row>
    <row r="35" spans="1:5" x14ac:dyDescent="0.15">
      <c r="A35" s="96"/>
      <c r="B35" s="98" t="s">
        <v>256</v>
      </c>
      <c r="C35" s="96" t="s">
        <v>253</v>
      </c>
      <c r="D35" s="98" t="s">
        <v>237</v>
      </c>
      <c r="E35" s="96" t="s">
        <v>289</v>
      </c>
    </row>
    <row r="36" spans="1:5" x14ac:dyDescent="0.15">
      <c r="A36" s="96"/>
      <c r="B36" s="98" t="s">
        <v>241</v>
      </c>
      <c r="C36" s="96"/>
      <c r="D36" s="98" t="s">
        <v>297</v>
      </c>
      <c r="E36" s="96"/>
    </row>
    <row r="37" spans="1:5" x14ac:dyDescent="0.15">
      <c r="A37" s="96"/>
      <c r="B37" s="98" t="s">
        <v>243</v>
      </c>
      <c r="C37" s="96"/>
      <c r="D37" s="98" t="s">
        <v>326</v>
      </c>
      <c r="E37" s="96"/>
    </row>
    <row r="38" spans="1:5" ht="27" x14ac:dyDescent="0.15">
      <c r="A38" s="96"/>
      <c r="B38" s="99" t="s">
        <v>346</v>
      </c>
      <c r="C38" s="96"/>
      <c r="D38" s="98" t="s">
        <v>327</v>
      </c>
      <c r="E38" s="96"/>
    </row>
    <row r="39" spans="1:5" x14ac:dyDescent="0.15">
      <c r="A39" s="96"/>
      <c r="B39" s="98" t="s">
        <v>278</v>
      </c>
      <c r="C39" s="96"/>
      <c r="D39" s="98" t="s">
        <v>298</v>
      </c>
      <c r="E39" s="96" t="s">
        <v>336</v>
      </c>
    </row>
    <row r="40" spans="1:5" x14ac:dyDescent="0.15">
      <c r="A40" s="96"/>
      <c r="B40" s="98"/>
      <c r="C40" s="96"/>
      <c r="D40" s="98" t="s">
        <v>299</v>
      </c>
      <c r="E40" s="96" t="s">
        <v>337</v>
      </c>
    </row>
    <row r="41" spans="1:5" x14ac:dyDescent="0.15">
      <c r="A41" s="96"/>
      <c r="B41" s="98"/>
      <c r="C41" s="96"/>
      <c r="D41" s="98" t="s">
        <v>300</v>
      </c>
      <c r="E41" s="96" t="s">
        <v>338</v>
      </c>
    </row>
    <row r="42" spans="1:5" x14ac:dyDescent="0.15">
      <c r="A42" s="96"/>
      <c r="B42" s="100" t="s">
        <v>267</v>
      </c>
      <c r="C42" s="100"/>
      <c r="D42" s="100"/>
      <c r="E42" s="100"/>
    </row>
    <row r="43" spans="1:5" x14ac:dyDescent="0.15">
      <c r="A43" s="96"/>
      <c r="B43" s="98" t="s">
        <v>245</v>
      </c>
      <c r="C43" s="96" t="s">
        <v>250</v>
      </c>
      <c r="D43" s="98" t="s">
        <v>301</v>
      </c>
      <c r="E43" s="96"/>
    </row>
    <row r="44" spans="1:5" x14ac:dyDescent="0.15">
      <c r="A44" s="96"/>
      <c r="B44" s="98" t="s">
        <v>247</v>
      </c>
      <c r="C44" s="96" t="s">
        <v>447</v>
      </c>
      <c r="D44" s="98" t="s">
        <v>302</v>
      </c>
      <c r="E44" s="96"/>
    </row>
    <row r="45" spans="1:5" x14ac:dyDescent="0.15">
      <c r="A45" s="96"/>
      <c r="B45" s="98" t="s">
        <v>257</v>
      </c>
      <c r="C45" s="96" t="s">
        <v>258</v>
      </c>
      <c r="D45" s="98" t="s">
        <v>303</v>
      </c>
      <c r="E45" s="96"/>
    </row>
    <row r="46" spans="1:5" x14ac:dyDescent="0.15">
      <c r="A46" s="96"/>
      <c r="B46" s="98" t="s">
        <v>261</v>
      </c>
      <c r="C46" s="96" t="s">
        <v>262</v>
      </c>
      <c r="D46" s="98" t="s">
        <v>304</v>
      </c>
      <c r="E46" s="96"/>
    </row>
    <row r="47" spans="1:5" x14ac:dyDescent="0.15">
      <c r="A47" s="96"/>
      <c r="B47" s="98" t="s">
        <v>264</v>
      </c>
      <c r="C47" s="96" t="s">
        <v>265</v>
      </c>
      <c r="D47" s="98" t="s">
        <v>305</v>
      </c>
      <c r="E47" s="96"/>
    </row>
    <row r="48" spans="1:5" x14ac:dyDescent="0.15">
      <c r="A48" s="96"/>
      <c r="B48" s="98" t="s">
        <v>268</v>
      </c>
      <c r="D48" s="98" t="s">
        <v>502</v>
      </c>
      <c r="E48" s="96" t="s">
        <v>501</v>
      </c>
    </row>
    <row r="49" spans="1:5" x14ac:dyDescent="0.15">
      <c r="A49" s="96"/>
      <c r="B49" s="98"/>
      <c r="C49" s="98" t="s">
        <v>272</v>
      </c>
      <c r="D49" s="98"/>
      <c r="E49" s="96" t="s">
        <v>288</v>
      </c>
    </row>
    <row r="50" spans="1:5" ht="27" x14ac:dyDescent="0.15">
      <c r="A50" s="96"/>
      <c r="B50" s="98"/>
      <c r="C50" s="98" t="s">
        <v>306</v>
      </c>
      <c r="D50" s="99" t="s">
        <v>307</v>
      </c>
      <c r="E50" s="96" t="s">
        <v>308</v>
      </c>
    </row>
    <row r="51" spans="1:5" ht="27" x14ac:dyDescent="0.15">
      <c r="A51" s="96"/>
      <c r="B51" s="98"/>
      <c r="C51" s="98" t="s">
        <v>309</v>
      </c>
      <c r="D51" s="99" t="s">
        <v>313</v>
      </c>
      <c r="E51" s="96" t="s">
        <v>310</v>
      </c>
    </row>
    <row r="52" spans="1:5" ht="27" x14ac:dyDescent="0.15">
      <c r="A52" s="96"/>
      <c r="B52" s="98"/>
      <c r="C52" s="98" t="s">
        <v>237</v>
      </c>
      <c r="D52" s="99" t="s">
        <v>311</v>
      </c>
      <c r="E52" s="96" t="s">
        <v>289</v>
      </c>
    </row>
    <row r="53" spans="1:5" ht="27" x14ac:dyDescent="0.15">
      <c r="A53" s="96"/>
      <c r="B53" s="98"/>
      <c r="C53" s="98" t="s">
        <v>309</v>
      </c>
      <c r="D53" s="99" t="s">
        <v>312</v>
      </c>
      <c r="E53" s="96" t="s">
        <v>310</v>
      </c>
    </row>
    <row r="54" spans="1:5" ht="27" x14ac:dyDescent="0.15">
      <c r="A54" s="96"/>
      <c r="B54" s="98"/>
      <c r="C54" s="98" t="s">
        <v>314</v>
      </c>
      <c r="D54" s="99" t="s">
        <v>316</v>
      </c>
      <c r="E54" s="96" t="s">
        <v>315</v>
      </c>
    </row>
    <row r="55" spans="1:5" ht="27" x14ac:dyDescent="0.15">
      <c r="A55" s="96"/>
      <c r="B55" s="98"/>
      <c r="C55" s="98" t="s">
        <v>317</v>
      </c>
      <c r="D55" s="99" t="s">
        <v>319</v>
      </c>
      <c r="E55" s="96" t="s">
        <v>318</v>
      </c>
    </row>
    <row r="56" spans="1:5" ht="27" x14ac:dyDescent="0.15">
      <c r="A56" s="96"/>
      <c r="B56" s="98"/>
      <c r="C56" s="98" t="s">
        <v>320</v>
      </c>
      <c r="D56" s="99" t="s">
        <v>322</v>
      </c>
      <c r="E56" s="96" t="s">
        <v>321</v>
      </c>
    </row>
    <row r="57" spans="1:5" ht="27" x14ac:dyDescent="0.15">
      <c r="A57" s="96"/>
      <c r="B57" s="98"/>
      <c r="C57" s="98" t="s">
        <v>323</v>
      </c>
      <c r="D57" s="99" t="s">
        <v>324</v>
      </c>
      <c r="E57" s="96" t="s">
        <v>325</v>
      </c>
    </row>
    <row r="58" spans="1:5" x14ac:dyDescent="0.15">
      <c r="A58" s="96"/>
      <c r="B58" s="98"/>
      <c r="C58" s="98" t="s">
        <v>236</v>
      </c>
      <c r="D58" s="98"/>
      <c r="E58" s="96" t="s">
        <v>288</v>
      </c>
    </row>
    <row r="59" spans="1:5" x14ac:dyDescent="0.15">
      <c r="A59" s="96"/>
      <c r="B59" s="96"/>
      <c r="C59" s="96"/>
      <c r="D59" s="96"/>
      <c r="E59" s="96"/>
    </row>
    <row r="60" spans="1:5" x14ac:dyDescent="0.15">
      <c r="A60" s="95" t="s">
        <v>328</v>
      </c>
      <c r="B60" s="97" t="s">
        <v>238</v>
      </c>
      <c r="C60" s="97" t="s">
        <v>259</v>
      </c>
      <c r="D60" s="97" t="s">
        <v>239</v>
      </c>
      <c r="E60" s="97" t="s">
        <v>240</v>
      </c>
    </row>
    <row r="61" spans="1:5" x14ac:dyDescent="0.15">
      <c r="A61" s="96"/>
      <c r="B61" s="98" t="s">
        <v>284</v>
      </c>
      <c r="C61" s="96"/>
      <c r="D61" s="98" t="s">
        <v>329</v>
      </c>
      <c r="E61" s="96"/>
    </row>
    <row r="62" spans="1:5" x14ac:dyDescent="0.15">
      <c r="A62" s="96"/>
      <c r="B62" s="98" t="s">
        <v>293</v>
      </c>
      <c r="C62" s="96"/>
      <c r="D62" s="98" t="s">
        <v>330</v>
      </c>
      <c r="E62" s="96"/>
    </row>
    <row r="63" spans="1:5" x14ac:dyDescent="0.15">
      <c r="A63" s="96"/>
      <c r="B63" s="98" t="s">
        <v>232</v>
      </c>
      <c r="C63" s="96"/>
      <c r="D63" s="98" t="s">
        <v>295</v>
      </c>
      <c r="E63" s="96"/>
    </row>
    <row r="64" spans="1:5" x14ac:dyDescent="0.15">
      <c r="A64" s="96"/>
      <c r="B64" s="98" t="s">
        <v>234</v>
      </c>
      <c r="C64" s="96"/>
      <c r="D64" s="98" t="s">
        <v>331</v>
      </c>
      <c r="E64" s="96"/>
    </row>
    <row r="65" spans="1:5" x14ac:dyDescent="0.15">
      <c r="A65" s="96"/>
      <c r="B65" s="98" t="s">
        <v>254</v>
      </c>
      <c r="C65" s="96" t="s">
        <v>251</v>
      </c>
      <c r="D65" s="98" t="s">
        <v>236</v>
      </c>
      <c r="E65" s="96" t="s">
        <v>288</v>
      </c>
    </row>
    <row r="66" spans="1:5" x14ac:dyDescent="0.15">
      <c r="A66" s="96"/>
      <c r="B66" s="98" t="s">
        <v>255</v>
      </c>
      <c r="C66" s="96" t="s">
        <v>252</v>
      </c>
      <c r="D66" s="98" t="s">
        <v>332</v>
      </c>
      <c r="E66" s="96" t="s">
        <v>333</v>
      </c>
    </row>
    <row r="67" spans="1:5" x14ac:dyDescent="0.15">
      <c r="A67" s="96"/>
      <c r="B67" s="98" t="s">
        <v>256</v>
      </c>
      <c r="C67" s="96" t="s">
        <v>253</v>
      </c>
      <c r="D67" s="98" t="s">
        <v>332</v>
      </c>
      <c r="E67" s="96" t="s">
        <v>333</v>
      </c>
    </row>
    <row r="68" spans="1:5" x14ac:dyDescent="0.15">
      <c r="A68" s="96"/>
      <c r="B68" s="98" t="s">
        <v>241</v>
      </c>
      <c r="C68" s="96"/>
      <c r="D68" s="98" t="s">
        <v>334</v>
      </c>
      <c r="E68" s="96"/>
    </row>
    <row r="69" spans="1:5" x14ac:dyDescent="0.15">
      <c r="A69" s="96"/>
      <c r="B69" s="98" t="s">
        <v>243</v>
      </c>
      <c r="C69" s="96"/>
      <c r="D69" s="98" t="s">
        <v>345</v>
      </c>
      <c r="E69" s="96"/>
    </row>
    <row r="70" spans="1:5" ht="27" x14ac:dyDescent="0.15">
      <c r="A70" s="96"/>
      <c r="B70" s="99" t="s">
        <v>346</v>
      </c>
      <c r="C70" s="96"/>
      <c r="D70" s="98" t="s">
        <v>347</v>
      </c>
      <c r="E70" s="96"/>
    </row>
    <row r="71" spans="1:5" x14ac:dyDescent="0.15">
      <c r="A71" s="96"/>
      <c r="B71" s="98" t="s">
        <v>243</v>
      </c>
      <c r="C71" s="96"/>
      <c r="D71" s="98" t="s">
        <v>348</v>
      </c>
      <c r="E71" s="96"/>
    </row>
    <row r="72" spans="1:5" ht="27" x14ac:dyDescent="0.15">
      <c r="A72" s="96"/>
      <c r="B72" s="99" t="s">
        <v>346</v>
      </c>
      <c r="C72" s="96"/>
      <c r="D72" s="98" t="s">
        <v>349</v>
      </c>
      <c r="E72" s="96"/>
    </row>
    <row r="73" spans="1:5" x14ac:dyDescent="0.15">
      <c r="A73" s="96"/>
      <c r="B73" s="98" t="s">
        <v>243</v>
      </c>
      <c r="C73" s="96"/>
      <c r="D73" s="98" t="s">
        <v>350</v>
      </c>
      <c r="E73" s="96"/>
    </row>
    <row r="74" spans="1:5" ht="27" x14ac:dyDescent="0.15">
      <c r="A74" s="96"/>
      <c r="B74" s="99" t="s">
        <v>346</v>
      </c>
      <c r="C74" s="96"/>
      <c r="D74" s="99" t="s">
        <v>351</v>
      </c>
      <c r="E74" s="96"/>
    </row>
    <row r="75" spans="1:5" x14ac:dyDescent="0.15">
      <c r="A75" s="96"/>
      <c r="B75" s="98" t="s">
        <v>243</v>
      </c>
      <c r="C75" s="96"/>
      <c r="D75" s="98" t="s">
        <v>352</v>
      </c>
      <c r="E75" s="96"/>
    </row>
    <row r="76" spans="1:5" ht="27" x14ac:dyDescent="0.15">
      <c r="A76" s="96"/>
      <c r="B76" s="99" t="s">
        <v>346</v>
      </c>
      <c r="C76" s="96"/>
      <c r="D76" s="99" t="s">
        <v>353</v>
      </c>
      <c r="E76" s="96"/>
    </row>
    <row r="77" spans="1:5" x14ac:dyDescent="0.15">
      <c r="A77" s="96"/>
      <c r="B77" s="98" t="s">
        <v>243</v>
      </c>
      <c r="C77" s="96"/>
      <c r="D77" s="98" t="s">
        <v>354</v>
      </c>
      <c r="E77" s="96"/>
    </row>
    <row r="78" spans="1:5" ht="27" x14ac:dyDescent="0.15">
      <c r="A78" s="96"/>
      <c r="B78" s="99" t="s">
        <v>346</v>
      </c>
      <c r="C78" s="96"/>
      <c r="D78" s="98" t="s">
        <v>355</v>
      </c>
      <c r="E78" s="96"/>
    </row>
    <row r="79" spans="1:5" x14ac:dyDescent="0.15">
      <c r="A79" s="96"/>
      <c r="B79" s="98" t="s">
        <v>243</v>
      </c>
      <c r="C79" s="96"/>
      <c r="D79" s="98" t="s">
        <v>356</v>
      </c>
      <c r="E79" s="96"/>
    </row>
    <row r="80" spans="1:5" ht="27" x14ac:dyDescent="0.15">
      <c r="A80" s="96"/>
      <c r="B80" s="99" t="s">
        <v>346</v>
      </c>
      <c r="C80" s="96"/>
      <c r="D80" s="98" t="s">
        <v>357</v>
      </c>
      <c r="E80" s="96"/>
    </row>
    <row r="81" spans="1:5" x14ac:dyDescent="0.15">
      <c r="A81" s="96"/>
      <c r="B81" s="98" t="s">
        <v>243</v>
      </c>
      <c r="C81" s="96"/>
      <c r="D81" s="98" t="s">
        <v>358</v>
      </c>
    </row>
    <row r="82" spans="1:5" ht="27" x14ac:dyDescent="0.15">
      <c r="A82" s="96"/>
      <c r="B82" s="99" t="s">
        <v>346</v>
      </c>
      <c r="C82" s="96"/>
      <c r="D82" s="98" t="s">
        <v>360</v>
      </c>
      <c r="E82" s="96" t="s">
        <v>359</v>
      </c>
    </row>
    <row r="83" spans="1:5" x14ac:dyDescent="0.15">
      <c r="A83" s="96"/>
      <c r="B83" s="98" t="s">
        <v>243</v>
      </c>
      <c r="C83" s="96"/>
      <c r="D83" s="98" t="s">
        <v>361</v>
      </c>
      <c r="E83" s="96"/>
    </row>
    <row r="84" spans="1:5" ht="27" x14ac:dyDescent="0.15">
      <c r="A84" s="96"/>
      <c r="B84" s="99" t="s">
        <v>346</v>
      </c>
      <c r="C84" s="96"/>
      <c r="D84" s="98" t="s">
        <v>362</v>
      </c>
      <c r="E84" s="96" t="s">
        <v>359</v>
      </c>
    </row>
    <row r="85" spans="1:5" x14ac:dyDescent="0.15">
      <c r="A85" s="96"/>
      <c r="B85" s="98" t="s">
        <v>243</v>
      </c>
      <c r="C85" s="96"/>
      <c r="D85" s="98" t="s">
        <v>363</v>
      </c>
      <c r="E85" s="96"/>
    </row>
    <row r="86" spans="1:5" ht="27" x14ac:dyDescent="0.15">
      <c r="A86" s="96"/>
      <c r="B86" s="99" t="s">
        <v>346</v>
      </c>
      <c r="C86" s="96"/>
      <c r="D86" s="98" t="s">
        <v>364</v>
      </c>
      <c r="E86" s="96" t="s">
        <v>359</v>
      </c>
    </row>
    <row r="87" spans="1:5" x14ac:dyDescent="0.15">
      <c r="A87" s="96"/>
      <c r="B87" s="98" t="s">
        <v>278</v>
      </c>
      <c r="C87" s="96"/>
      <c r="D87" s="98" t="s">
        <v>335</v>
      </c>
      <c r="E87" s="96" t="s">
        <v>379</v>
      </c>
    </row>
    <row r="88" spans="1:5" x14ac:dyDescent="0.15">
      <c r="A88" s="96"/>
      <c r="B88" s="100" t="s">
        <v>267</v>
      </c>
      <c r="C88" s="100"/>
      <c r="D88" s="100"/>
      <c r="E88" s="100"/>
    </row>
    <row r="89" spans="1:5" x14ac:dyDescent="0.15">
      <c r="A89" s="96"/>
      <c r="B89" s="98" t="s">
        <v>245</v>
      </c>
      <c r="C89" s="96" t="s">
        <v>250</v>
      </c>
      <c r="D89" s="98" t="s">
        <v>340</v>
      </c>
      <c r="E89" s="96"/>
    </row>
    <row r="90" spans="1:5" x14ac:dyDescent="0.15">
      <c r="A90" s="96"/>
      <c r="B90" s="98" t="s">
        <v>247</v>
      </c>
      <c r="C90" s="96" t="s">
        <v>448</v>
      </c>
      <c r="D90" s="98" t="s">
        <v>341</v>
      </c>
      <c r="E90" s="96"/>
    </row>
    <row r="91" spans="1:5" x14ac:dyDescent="0.15">
      <c r="A91" s="96"/>
      <c r="B91" s="98" t="s">
        <v>257</v>
      </c>
      <c r="C91" s="96" t="s">
        <v>258</v>
      </c>
      <c r="D91" s="98" t="s">
        <v>342</v>
      </c>
      <c r="E91" s="96"/>
    </row>
    <row r="92" spans="1:5" x14ac:dyDescent="0.15">
      <c r="A92" s="96"/>
      <c r="B92" s="98" t="s">
        <v>261</v>
      </c>
      <c r="C92" s="96" t="s">
        <v>262</v>
      </c>
      <c r="D92" s="98" t="s">
        <v>343</v>
      </c>
      <c r="E92" s="96"/>
    </row>
    <row r="93" spans="1:5" x14ac:dyDescent="0.15">
      <c r="A93" s="96"/>
      <c r="B93" s="98" t="s">
        <v>264</v>
      </c>
      <c r="C93" s="96" t="s">
        <v>265</v>
      </c>
      <c r="D93" s="98" t="s">
        <v>344</v>
      </c>
      <c r="E93" s="96"/>
    </row>
    <row r="94" spans="1:5" x14ac:dyDescent="0.15">
      <c r="A94" s="96"/>
      <c r="B94" s="96"/>
      <c r="C94" s="96"/>
      <c r="D94" s="96"/>
      <c r="E94" s="96"/>
    </row>
    <row r="95" spans="1:5" x14ac:dyDescent="0.15">
      <c r="A95" s="95" t="s">
        <v>365</v>
      </c>
      <c r="B95" s="97" t="s">
        <v>238</v>
      </c>
      <c r="C95" s="97" t="s">
        <v>259</v>
      </c>
      <c r="D95" s="97" t="s">
        <v>239</v>
      </c>
      <c r="E95" s="97" t="s">
        <v>240</v>
      </c>
    </row>
    <row r="96" spans="1:5" x14ac:dyDescent="0.15">
      <c r="A96" s="95"/>
      <c r="B96" s="108" t="s">
        <v>413</v>
      </c>
      <c r="C96" s="109"/>
      <c r="D96" s="109"/>
      <c r="E96" s="110"/>
    </row>
    <row r="97" spans="1:5" x14ac:dyDescent="0.15">
      <c r="A97" s="96"/>
      <c r="B97" s="98" t="s">
        <v>284</v>
      </c>
      <c r="C97" s="96"/>
      <c r="D97" s="98" t="s">
        <v>231</v>
      </c>
      <c r="E97" s="96"/>
    </row>
    <row r="98" spans="1:5" x14ac:dyDescent="0.15">
      <c r="A98" s="96"/>
      <c r="B98" s="98" t="s">
        <v>293</v>
      </c>
      <c r="C98" s="96"/>
      <c r="D98" s="98"/>
      <c r="E98" s="96"/>
    </row>
    <row r="99" spans="1:5" x14ac:dyDescent="0.15">
      <c r="A99" s="96"/>
      <c r="B99" s="98" t="s">
        <v>232</v>
      </c>
      <c r="C99" s="96"/>
      <c r="D99" s="98" t="s">
        <v>295</v>
      </c>
      <c r="E99" s="96" t="s">
        <v>366</v>
      </c>
    </row>
    <row r="100" spans="1:5" x14ac:dyDescent="0.15">
      <c r="A100" s="96"/>
      <c r="B100" s="98" t="s">
        <v>234</v>
      </c>
      <c r="C100" s="96"/>
      <c r="D100" s="98" t="s">
        <v>367</v>
      </c>
      <c r="E100" s="96"/>
    </row>
    <row r="101" spans="1:5" x14ac:dyDescent="0.15">
      <c r="A101" s="96"/>
      <c r="B101" s="98" t="s">
        <v>254</v>
      </c>
      <c r="C101" s="96" t="s">
        <v>251</v>
      </c>
      <c r="D101" s="98" t="s">
        <v>236</v>
      </c>
      <c r="E101" s="96" t="s">
        <v>288</v>
      </c>
    </row>
    <row r="102" spans="1:5" x14ac:dyDescent="0.15">
      <c r="A102" s="96"/>
      <c r="B102" s="98" t="s">
        <v>255</v>
      </c>
      <c r="C102" s="96" t="s">
        <v>252</v>
      </c>
      <c r="D102" s="98" t="s">
        <v>368</v>
      </c>
      <c r="E102" s="96" t="s">
        <v>371</v>
      </c>
    </row>
    <row r="103" spans="1:5" x14ac:dyDescent="0.15">
      <c r="A103" s="96"/>
      <c r="B103" s="98" t="s">
        <v>256</v>
      </c>
      <c r="C103" s="96" t="s">
        <v>253</v>
      </c>
      <c r="D103" s="98" t="s">
        <v>368</v>
      </c>
      <c r="E103" s="102" t="s">
        <v>371</v>
      </c>
    </row>
    <row r="104" spans="1:5" x14ac:dyDescent="0.15">
      <c r="A104" s="96"/>
      <c r="B104" s="98" t="s">
        <v>369</v>
      </c>
      <c r="C104" s="96" t="s">
        <v>370</v>
      </c>
      <c r="D104" s="98" t="s">
        <v>309</v>
      </c>
      <c r="E104" s="96" t="s">
        <v>310</v>
      </c>
    </row>
    <row r="105" spans="1:5" x14ac:dyDescent="0.15">
      <c r="A105" s="96"/>
      <c r="B105" s="98" t="s">
        <v>241</v>
      </c>
      <c r="C105" s="96"/>
      <c r="D105" s="98" t="s">
        <v>372</v>
      </c>
      <c r="E105" s="96"/>
    </row>
    <row r="106" spans="1:5" x14ac:dyDescent="0.15">
      <c r="A106" s="96"/>
      <c r="B106" s="98" t="s">
        <v>243</v>
      </c>
      <c r="C106" s="96"/>
      <c r="D106" s="98"/>
      <c r="E106" s="96" t="s">
        <v>244</v>
      </c>
    </row>
    <row r="107" spans="1:5" x14ac:dyDescent="0.15">
      <c r="A107" s="96"/>
      <c r="B107" s="98" t="s">
        <v>278</v>
      </c>
      <c r="C107" s="96"/>
      <c r="D107" s="98" t="s">
        <v>373</v>
      </c>
      <c r="E107" s="96" t="s">
        <v>380</v>
      </c>
    </row>
    <row r="108" spans="1:5" x14ac:dyDescent="0.15">
      <c r="A108" s="96"/>
      <c r="B108" s="98"/>
      <c r="C108" s="96"/>
      <c r="D108" s="98" t="s">
        <v>374</v>
      </c>
      <c r="E108" s="96" t="s">
        <v>381</v>
      </c>
    </row>
    <row r="109" spans="1:5" x14ac:dyDescent="0.15">
      <c r="A109" s="96"/>
      <c r="B109" s="98"/>
      <c r="C109" s="96"/>
      <c r="D109" s="98" t="s">
        <v>375</v>
      </c>
      <c r="E109" s="96" t="s">
        <v>382</v>
      </c>
    </row>
    <row r="110" spans="1:5" x14ac:dyDescent="0.15">
      <c r="A110" s="96"/>
      <c r="B110" s="98"/>
      <c r="C110" s="96"/>
      <c r="D110" s="98" t="s">
        <v>376</v>
      </c>
      <c r="E110" s="96" t="s">
        <v>383</v>
      </c>
    </row>
    <row r="111" spans="1:5" x14ac:dyDescent="0.15">
      <c r="A111" s="96"/>
      <c r="B111" s="98"/>
      <c r="C111" s="96"/>
      <c r="D111" s="98" t="s">
        <v>377</v>
      </c>
      <c r="E111" s="96" t="s">
        <v>384</v>
      </c>
    </row>
    <row r="112" spans="1:5" x14ac:dyDescent="0.15">
      <c r="A112" s="96"/>
      <c r="B112" s="98"/>
      <c r="C112" s="96"/>
      <c r="D112" s="98" t="s">
        <v>378</v>
      </c>
      <c r="E112" s="96" t="s">
        <v>385</v>
      </c>
    </row>
    <row r="113" spans="1:5" ht="27" x14ac:dyDescent="0.15">
      <c r="A113" s="96"/>
      <c r="B113" s="99" t="s">
        <v>346</v>
      </c>
      <c r="C113" s="96"/>
      <c r="D113" s="98" t="s">
        <v>386</v>
      </c>
      <c r="E113" s="96"/>
    </row>
    <row r="114" spans="1:5" x14ac:dyDescent="0.15">
      <c r="A114" s="96"/>
      <c r="B114" s="100" t="s">
        <v>401</v>
      </c>
      <c r="C114" s="100"/>
      <c r="D114" s="100"/>
      <c r="E114" s="100"/>
    </row>
    <row r="115" spans="1:5" x14ac:dyDescent="0.15">
      <c r="A115" s="96"/>
      <c r="B115" s="98" t="s">
        <v>245</v>
      </c>
      <c r="C115" s="96" t="s">
        <v>250</v>
      </c>
      <c r="D115" s="98" t="s">
        <v>387</v>
      </c>
      <c r="E115" s="96"/>
    </row>
    <row r="116" spans="1:5" x14ac:dyDescent="0.15">
      <c r="A116" s="96"/>
      <c r="B116" s="98" t="s">
        <v>247</v>
      </c>
      <c r="C116" s="96" t="s">
        <v>447</v>
      </c>
      <c r="D116" s="98" t="s">
        <v>388</v>
      </c>
      <c r="E116" s="96"/>
    </row>
    <row r="117" spans="1:5" x14ac:dyDescent="0.15">
      <c r="A117" s="96"/>
      <c r="B117" s="98" t="s">
        <v>257</v>
      </c>
      <c r="C117" s="96" t="s">
        <v>258</v>
      </c>
      <c r="D117" s="98" t="s">
        <v>389</v>
      </c>
      <c r="E117" s="96"/>
    </row>
    <row r="118" spans="1:5" x14ac:dyDescent="0.15">
      <c r="A118" s="96"/>
      <c r="B118" s="98" t="s">
        <v>261</v>
      </c>
      <c r="C118" s="96" t="s">
        <v>262</v>
      </c>
      <c r="D118" s="98" t="s">
        <v>390</v>
      </c>
      <c r="E118" s="96"/>
    </row>
    <row r="119" spans="1:5" x14ac:dyDescent="0.15">
      <c r="A119" s="96"/>
      <c r="B119" s="98" t="s">
        <v>264</v>
      </c>
      <c r="C119" s="96" t="s">
        <v>265</v>
      </c>
      <c r="D119" s="98" t="s">
        <v>391</v>
      </c>
      <c r="E119" s="96"/>
    </row>
    <row r="120" spans="1:5" x14ac:dyDescent="0.15">
      <c r="A120" s="96"/>
      <c r="B120" s="98" t="s">
        <v>411</v>
      </c>
      <c r="D120" s="98" t="s">
        <v>502</v>
      </c>
      <c r="E120" s="96" t="s">
        <v>501</v>
      </c>
    </row>
    <row r="121" spans="1:5" x14ac:dyDescent="0.15">
      <c r="A121" s="96"/>
      <c r="B121" s="98"/>
      <c r="C121" s="98" t="s">
        <v>236</v>
      </c>
      <c r="D121" s="98"/>
      <c r="E121" s="96" t="s">
        <v>288</v>
      </c>
    </row>
    <row r="122" spans="1:5" ht="27" x14ac:dyDescent="0.15">
      <c r="A122" s="96"/>
      <c r="B122" s="98"/>
      <c r="C122" s="98" t="s">
        <v>392</v>
      </c>
      <c r="D122" s="99" t="s">
        <v>393</v>
      </c>
      <c r="E122" s="96" t="s">
        <v>399</v>
      </c>
    </row>
    <row r="123" spans="1:5" ht="27" x14ac:dyDescent="0.15">
      <c r="A123" s="96"/>
      <c r="B123" s="98"/>
      <c r="C123" s="98" t="s">
        <v>309</v>
      </c>
      <c r="D123" s="99" t="s">
        <v>432</v>
      </c>
      <c r="E123" s="96" t="s">
        <v>310</v>
      </c>
    </row>
    <row r="124" spans="1:5" ht="27" x14ac:dyDescent="0.15">
      <c r="A124" s="96"/>
      <c r="B124" s="98"/>
      <c r="C124" s="98" t="s">
        <v>237</v>
      </c>
      <c r="D124" s="99" t="s">
        <v>394</v>
      </c>
      <c r="E124" s="96" t="s">
        <v>289</v>
      </c>
    </row>
    <row r="125" spans="1:5" ht="27" x14ac:dyDescent="0.15">
      <c r="A125" s="96"/>
      <c r="B125" s="98"/>
      <c r="C125" s="98" t="s">
        <v>395</v>
      </c>
      <c r="D125" s="99" t="s">
        <v>396</v>
      </c>
      <c r="E125" s="96" t="s">
        <v>399</v>
      </c>
    </row>
    <row r="126" spans="1:5" ht="27" x14ac:dyDescent="0.15">
      <c r="A126" s="96"/>
      <c r="B126" s="98"/>
      <c r="C126" s="98" t="s">
        <v>397</v>
      </c>
      <c r="D126" s="99" t="s">
        <v>398</v>
      </c>
      <c r="E126" s="96" t="s">
        <v>400</v>
      </c>
    </row>
    <row r="127" spans="1:5" x14ac:dyDescent="0.15">
      <c r="A127" s="96"/>
      <c r="B127" s="100" t="s">
        <v>404</v>
      </c>
      <c r="C127" s="100"/>
      <c r="D127" s="100"/>
      <c r="E127" s="100"/>
    </row>
    <row r="128" spans="1:5" x14ac:dyDescent="0.15">
      <c r="A128" s="96"/>
      <c r="B128" s="98" t="s">
        <v>245</v>
      </c>
      <c r="C128" s="96" t="s">
        <v>250</v>
      </c>
      <c r="D128" s="98"/>
      <c r="E128" s="96"/>
    </row>
    <row r="129" spans="1:5" x14ac:dyDescent="0.15">
      <c r="A129" s="96"/>
      <c r="B129" s="98" t="s">
        <v>247</v>
      </c>
      <c r="C129" s="96" t="s">
        <v>447</v>
      </c>
      <c r="D129" s="98" t="s">
        <v>402</v>
      </c>
      <c r="E129" s="96"/>
    </row>
    <row r="130" spans="1:5" x14ac:dyDescent="0.15">
      <c r="A130" s="96"/>
      <c r="B130" s="98" t="s">
        <v>257</v>
      </c>
      <c r="C130" s="96" t="s">
        <v>258</v>
      </c>
      <c r="D130" s="98" t="s">
        <v>403</v>
      </c>
      <c r="E130" s="96"/>
    </row>
    <row r="131" spans="1:5" x14ac:dyDescent="0.15">
      <c r="A131" s="96"/>
      <c r="B131" s="98" t="s">
        <v>405</v>
      </c>
      <c r="C131" s="96"/>
      <c r="D131" s="104">
        <v>9869162</v>
      </c>
      <c r="E131" s="96"/>
    </row>
    <row r="132" spans="1:5" x14ac:dyDescent="0.15">
      <c r="A132" s="96"/>
      <c r="B132" s="98" t="s">
        <v>261</v>
      </c>
      <c r="C132" s="96" t="s">
        <v>262</v>
      </c>
      <c r="D132" s="98" t="s">
        <v>406</v>
      </c>
      <c r="E132" s="96"/>
    </row>
    <row r="133" spans="1:5" ht="27" x14ac:dyDescent="0.15">
      <c r="A133" s="96"/>
      <c r="B133" s="98" t="s">
        <v>407</v>
      </c>
      <c r="C133" s="96" t="s">
        <v>408</v>
      </c>
      <c r="D133" s="98" t="s">
        <v>368</v>
      </c>
      <c r="E133" s="101" t="s">
        <v>409</v>
      </c>
    </row>
    <row r="134" spans="1:5" x14ac:dyDescent="0.15">
      <c r="A134" s="96"/>
      <c r="B134" s="96"/>
      <c r="C134" s="96"/>
      <c r="D134" s="96"/>
      <c r="E134" s="96"/>
    </row>
    <row r="135" spans="1:5" x14ac:dyDescent="0.15">
      <c r="A135" s="95" t="s">
        <v>410</v>
      </c>
      <c r="B135" s="97" t="s">
        <v>238</v>
      </c>
      <c r="C135" s="97" t="s">
        <v>259</v>
      </c>
      <c r="D135" s="97" t="s">
        <v>239</v>
      </c>
      <c r="E135" s="97" t="s">
        <v>240</v>
      </c>
    </row>
    <row r="136" spans="1:5" x14ac:dyDescent="0.15">
      <c r="A136" s="95"/>
      <c r="B136" s="105" t="s">
        <v>412</v>
      </c>
      <c r="C136" s="106"/>
      <c r="D136" s="106"/>
      <c r="E136" s="107"/>
    </row>
    <row r="137" spans="1:5" x14ac:dyDescent="0.15">
      <c r="A137" s="96"/>
      <c r="B137" s="98" t="s">
        <v>284</v>
      </c>
      <c r="C137" s="96"/>
      <c r="D137" s="98" t="s">
        <v>415</v>
      </c>
      <c r="E137" s="96"/>
    </row>
    <row r="138" spans="1:5" x14ac:dyDescent="0.15">
      <c r="A138" s="96"/>
      <c r="B138" s="98" t="s">
        <v>293</v>
      </c>
      <c r="C138" s="96"/>
      <c r="D138" s="98"/>
      <c r="E138" s="96"/>
    </row>
    <row r="139" spans="1:5" x14ac:dyDescent="0.15">
      <c r="A139" s="96"/>
      <c r="B139" s="98" t="s">
        <v>232</v>
      </c>
      <c r="C139" s="96"/>
      <c r="D139" s="98" t="s">
        <v>416</v>
      </c>
      <c r="E139" s="96" t="s">
        <v>417</v>
      </c>
    </row>
    <row r="140" spans="1:5" x14ac:dyDescent="0.15">
      <c r="A140" s="96"/>
      <c r="B140" s="98" t="s">
        <v>234</v>
      </c>
      <c r="C140" s="96"/>
      <c r="D140" s="98" t="s">
        <v>418</v>
      </c>
      <c r="E140" s="96"/>
    </row>
    <row r="141" spans="1:5" x14ac:dyDescent="0.15">
      <c r="A141" s="96"/>
      <c r="B141" s="98" t="s">
        <v>254</v>
      </c>
      <c r="C141" s="96" t="s">
        <v>251</v>
      </c>
      <c r="D141" s="98" t="s">
        <v>236</v>
      </c>
      <c r="E141" s="96" t="s">
        <v>288</v>
      </c>
    </row>
    <row r="142" spans="1:5" x14ac:dyDescent="0.15">
      <c r="A142" s="96"/>
      <c r="B142" s="98" t="s">
        <v>255</v>
      </c>
      <c r="C142" s="96" t="s">
        <v>252</v>
      </c>
      <c r="D142" s="98" t="s">
        <v>419</v>
      </c>
      <c r="E142" s="96" t="s">
        <v>421</v>
      </c>
    </row>
    <row r="143" spans="1:5" x14ac:dyDescent="0.15">
      <c r="A143" s="96"/>
      <c r="B143" s="98" t="s">
        <v>256</v>
      </c>
      <c r="C143" s="96" t="s">
        <v>253</v>
      </c>
      <c r="D143" s="98" t="s">
        <v>419</v>
      </c>
      <c r="E143" s="96" t="s">
        <v>421</v>
      </c>
    </row>
    <row r="144" spans="1:5" x14ac:dyDescent="0.15">
      <c r="A144" s="96"/>
      <c r="B144" s="98" t="s">
        <v>241</v>
      </c>
      <c r="C144" s="96"/>
      <c r="D144" s="98" t="s">
        <v>420</v>
      </c>
      <c r="E144" s="96"/>
    </row>
    <row r="145" spans="1:5" x14ac:dyDescent="0.15">
      <c r="A145" s="96"/>
      <c r="B145" s="98" t="s">
        <v>243</v>
      </c>
      <c r="C145" s="96"/>
      <c r="D145" s="98"/>
      <c r="E145" s="96" t="s">
        <v>422</v>
      </c>
    </row>
    <row r="146" spans="1:5" x14ac:dyDescent="0.15">
      <c r="A146" s="96"/>
      <c r="B146" s="98" t="s">
        <v>278</v>
      </c>
      <c r="C146" s="96"/>
      <c r="D146" s="98" t="s">
        <v>433</v>
      </c>
      <c r="E146" s="111">
        <v>2200</v>
      </c>
    </row>
    <row r="147" spans="1:5" x14ac:dyDescent="0.15">
      <c r="A147" s="96"/>
      <c r="B147" s="98"/>
      <c r="C147" s="96"/>
      <c r="D147" s="98" t="s">
        <v>434</v>
      </c>
      <c r="E147" s="111">
        <v>2200</v>
      </c>
    </row>
    <row r="148" spans="1:5" x14ac:dyDescent="0.15">
      <c r="A148" s="96"/>
      <c r="B148" s="98"/>
      <c r="C148" s="96"/>
      <c r="D148" s="98" t="s">
        <v>435</v>
      </c>
      <c r="E148" s="111">
        <v>2210</v>
      </c>
    </row>
    <row r="149" spans="1:5" x14ac:dyDescent="0.15">
      <c r="A149" s="96"/>
      <c r="B149" s="98"/>
      <c r="C149" s="96"/>
      <c r="D149" s="98" t="s">
        <v>436</v>
      </c>
      <c r="E149" s="111">
        <v>2000</v>
      </c>
    </row>
    <row r="150" spans="1:5" ht="27" x14ac:dyDescent="0.15">
      <c r="A150" s="96"/>
      <c r="B150" s="99" t="s">
        <v>346</v>
      </c>
      <c r="C150" s="96"/>
      <c r="D150" s="98" t="s">
        <v>282</v>
      </c>
      <c r="E150" s="96"/>
    </row>
    <row r="151" spans="1:5" x14ac:dyDescent="0.15">
      <c r="A151" s="96"/>
      <c r="B151" s="98"/>
      <c r="C151" s="96"/>
      <c r="D151" s="98"/>
      <c r="E151" s="96"/>
    </row>
    <row r="152" spans="1:5" x14ac:dyDescent="0.15">
      <c r="A152" s="96"/>
      <c r="B152" s="98"/>
      <c r="C152" s="96"/>
      <c r="D152" s="98"/>
      <c r="E152" s="96"/>
    </row>
    <row r="153" spans="1:5" x14ac:dyDescent="0.15">
      <c r="A153" s="96"/>
      <c r="B153" s="100" t="s">
        <v>267</v>
      </c>
      <c r="C153" s="100"/>
      <c r="D153" s="100"/>
      <c r="E153" s="100"/>
    </row>
    <row r="154" spans="1:5" x14ac:dyDescent="0.15">
      <c r="A154" s="96"/>
      <c r="B154" s="98" t="s">
        <v>245</v>
      </c>
      <c r="C154" s="96" t="s">
        <v>250</v>
      </c>
      <c r="D154" s="98" t="s">
        <v>423</v>
      </c>
      <c r="E154" s="96"/>
    </row>
    <row r="155" spans="1:5" x14ac:dyDescent="0.15">
      <c r="A155" s="96"/>
      <c r="B155" s="98" t="s">
        <v>247</v>
      </c>
      <c r="C155" s="96" t="s">
        <v>447</v>
      </c>
      <c r="D155" s="98" t="s">
        <v>424</v>
      </c>
      <c r="E155" s="96"/>
    </row>
    <row r="156" spans="1:5" x14ac:dyDescent="0.15">
      <c r="A156" s="96"/>
      <c r="B156" s="98" t="s">
        <v>257</v>
      </c>
      <c r="C156" s="96" t="s">
        <v>258</v>
      </c>
      <c r="D156" s="98" t="s">
        <v>425</v>
      </c>
      <c r="E156" s="96"/>
    </row>
    <row r="157" spans="1:5" x14ac:dyDescent="0.15">
      <c r="A157" s="96"/>
      <c r="B157" s="98" t="s">
        <v>261</v>
      </c>
      <c r="C157" s="96" t="s">
        <v>262</v>
      </c>
      <c r="D157" s="98" t="s">
        <v>426</v>
      </c>
      <c r="E157" s="96"/>
    </row>
    <row r="158" spans="1:5" x14ac:dyDescent="0.15">
      <c r="A158" s="96"/>
      <c r="B158" s="98" t="s">
        <v>264</v>
      </c>
      <c r="C158" s="96" t="s">
        <v>265</v>
      </c>
      <c r="D158" s="98" t="s">
        <v>427</v>
      </c>
      <c r="E158" s="96" t="s">
        <v>428</v>
      </c>
    </row>
    <row r="159" spans="1:5" x14ac:dyDescent="0.15">
      <c r="A159" s="96"/>
      <c r="B159" s="98" t="s">
        <v>411</v>
      </c>
      <c r="D159" s="98" t="s">
        <v>502</v>
      </c>
      <c r="E159" s="96" t="s">
        <v>501</v>
      </c>
    </row>
    <row r="160" spans="1:5" x14ac:dyDescent="0.15">
      <c r="A160" s="96"/>
      <c r="B160" s="98"/>
      <c r="C160" s="98" t="s">
        <v>236</v>
      </c>
      <c r="D160" s="99"/>
      <c r="E160" s="96" t="s">
        <v>288</v>
      </c>
    </row>
    <row r="161" spans="1:5" ht="27" x14ac:dyDescent="0.15">
      <c r="A161" s="96"/>
      <c r="B161" s="98"/>
      <c r="C161" s="98" t="s">
        <v>429</v>
      </c>
      <c r="D161" s="99" t="s">
        <v>430</v>
      </c>
      <c r="E161" s="96"/>
    </row>
    <row r="162" spans="1:5" ht="27" x14ac:dyDescent="0.15">
      <c r="A162" s="96"/>
      <c r="B162" s="98"/>
      <c r="C162" s="98" t="s">
        <v>419</v>
      </c>
      <c r="D162" s="99" t="s">
        <v>431</v>
      </c>
      <c r="E162" s="96"/>
    </row>
  </sheetData>
  <mergeCells count="9">
    <mergeCell ref="B153:E153"/>
    <mergeCell ref="A1:E1"/>
    <mergeCell ref="B15:E15"/>
    <mergeCell ref="B42:E42"/>
    <mergeCell ref="B88:E88"/>
    <mergeCell ref="B114:E114"/>
    <mergeCell ref="B127:E127"/>
    <mergeCell ref="B136:E136"/>
    <mergeCell ref="B96:E96"/>
  </mergeCells>
  <phoneticPr fontId="6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6"/>
  <sheetViews>
    <sheetView showGridLines="0" zoomScale="90" zoomScaleNormal="90" zoomScalePageLayoutView="55" workbookViewId="0">
      <pane ySplit="5" topLeftCell="A24" activePane="bottomLeft" state="frozen"/>
      <selection pane="bottomLeft" activeCell="B18" sqref="B18:C18"/>
    </sheetView>
  </sheetViews>
  <sheetFormatPr defaultColWidth="8.21875" defaultRowHeight="12" x14ac:dyDescent="0.15"/>
  <cols>
    <col min="1" max="1" width="13" style="6" customWidth="1"/>
    <col min="2" max="2" width="15.5546875" style="7" bestFit="1" customWidth="1"/>
    <col min="3" max="3" width="13.5546875" style="7" customWidth="1"/>
    <col min="4" max="4" width="14.21875" style="7" customWidth="1"/>
    <col min="5" max="5" width="3.109375" style="7" bestFit="1" customWidth="1"/>
    <col min="6" max="6" width="33.21875" style="7" customWidth="1"/>
    <col min="7" max="7" width="20.77734375" style="7" customWidth="1"/>
    <col min="8" max="8" width="34.44140625" style="7" customWidth="1"/>
    <col min="9" max="9" width="16.109375" style="9" customWidth="1"/>
    <col min="10" max="10" width="10.6640625" style="1" customWidth="1"/>
    <col min="11" max="11" width="10.6640625" style="7" customWidth="1"/>
    <col min="12" max="12" width="10.6640625" style="8" customWidth="1"/>
    <col min="13" max="14" width="10.6640625" style="7" customWidth="1"/>
    <col min="15" max="16" width="10.6640625" style="8" customWidth="1"/>
    <col min="17" max="17" width="6.21875" style="7" customWidth="1"/>
    <col min="18" max="21" width="14" style="8" bestFit="1" customWidth="1"/>
    <col min="22" max="22" width="6.21875" style="7" bestFit="1" customWidth="1"/>
    <col min="23" max="26" width="13" style="7" bestFit="1" customWidth="1"/>
    <col min="27" max="29" width="6.21875" style="7" bestFit="1" customWidth="1"/>
    <col min="30" max="33" width="13" style="7" bestFit="1" customWidth="1"/>
    <col min="34" max="35" width="6.21875" style="7" bestFit="1" customWidth="1"/>
    <col min="36" max="36" width="22.109375" style="7" customWidth="1"/>
    <col min="37" max="16384" width="8.21875" style="6"/>
  </cols>
  <sheetData>
    <row r="1" spans="1:21" s="7" customFormat="1" ht="39.950000000000003" customHeight="1" x14ac:dyDescent="0.15">
      <c r="A1" s="26" t="s">
        <v>0</v>
      </c>
      <c r="B1" s="68" t="s">
        <v>58</v>
      </c>
      <c r="C1" s="69"/>
      <c r="D1" s="69"/>
      <c r="E1" s="70"/>
      <c r="F1" s="65" t="s">
        <v>12</v>
      </c>
      <c r="G1" s="66"/>
      <c r="H1" s="67" t="s">
        <v>60</v>
      </c>
      <c r="I1" s="67"/>
      <c r="J1" s="67"/>
      <c r="K1" s="67"/>
      <c r="L1" s="67"/>
      <c r="M1" s="67"/>
      <c r="N1" s="67"/>
      <c r="O1" s="67"/>
      <c r="P1" s="67"/>
      <c r="R1" s="8"/>
      <c r="S1" s="8"/>
      <c r="T1" s="8"/>
      <c r="U1" s="8"/>
    </row>
    <row r="2" spans="1:21" s="7" customFormat="1" ht="17.25" customHeight="1" x14ac:dyDescent="0.15">
      <c r="A2" s="83" t="s">
        <v>36</v>
      </c>
      <c r="B2" s="85" t="s">
        <v>59</v>
      </c>
      <c r="C2" s="86"/>
      <c r="D2" s="86"/>
      <c r="E2" s="86"/>
      <c r="F2" s="83" t="s">
        <v>11</v>
      </c>
      <c r="G2" s="89"/>
      <c r="H2" s="23" t="s">
        <v>13</v>
      </c>
      <c r="I2" s="23" t="s">
        <v>10</v>
      </c>
      <c r="J2" s="25" t="s">
        <v>1</v>
      </c>
      <c r="K2" s="25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3" t="s">
        <v>8</v>
      </c>
      <c r="R2" s="8"/>
      <c r="S2" s="8"/>
      <c r="T2" s="8"/>
      <c r="U2" s="8"/>
    </row>
    <row r="3" spans="1:21" s="7" customFormat="1" ht="38.25" customHeight="1" x14ac:dyDescent="0.15">
      <c r="A3" s="84"/>
      <c r="B3" s="87"/>
      <c r="C3" s="88"/>
      <c r="D3" s="88"/>
      <c r="E3" s="88"/>
      <c r="F3" s="84"/>
      <c r="G3" s="90"/>
      <c r="H3" s="23" t="s">
        <v>54</v>
      </c>
      <c r="I3" s="22">
        <v>44790</v>
      </c>
      <c r="J3" s="21">
        <f>COUNTA($F$6:$F$205)</f>
        <v>31</v>
      </c>
      <c r="K3" s="11">
        <f>COUNTIF($J$6:$J$205,"P")</f>
        <v>0</v>
      </c>
      <c r="L3" s="11">
        <f>COUNTIF($J$6:$J$205,"F")</f>
        <v>0</v>
      </c>
      <c r="M3" s="11">
        <f>COUNTIF($J$6:$J$205,"N/A")</f>
        <v>0</v>
      </c>
      <c r="N3" s="21">
        <f>COUNTA($O$6:$O$205)</f>
        <v>0</v>
      </c>
      <c r="O3" s="2" t="str">
        <f>IFERROR(N3/L3,"-")</f>
        <v>-</v>
      </c>
      <c r="P3" s="24" t="s">
        <v>50</v>
      </c>
      <c r="R3" s="8"/>
      <c r="S3" s="8"/>
      <c r="T3" s="8"/>
      <c r="U3" s="8"/>
    </row>
    <row r="4" spans="1:21" s="7" customFormat="1" ht="22.5" customHeight="1" x14ac:dyDescent="0.15">
      <c r="A4" s="75" t="s">
        <v>9</v>
      </c>
      <c r="B4" s="76"/>
      <c r="C4" s="76"/>
      <c r="D4" s="77"/>
      <c r="E4" s="78" t="s">
        <v>25</v>
      </c>
      <c r="F4" s="79"/>
      <c r="G4" s="79"/>
      <c r="H4" s="79"/>
      <c r="I4" s="79"/>
      <c r="J4" s="80" t="s">
        <v>8</v>
      </c>
      <c r="K4" s="81"/>
      <c r="L4" s="82"/>
      <c r="M4" s="81" t="s">
        <v>51</v>
      </c>
      <c r="N4" s="81"/>
      <c r="O4" s="81"/>
      <c r="P4" s="81"/>
      <c r="R4" s="8"/>
      <c r="S4" s="8"/>
      <c r="T4" s="8"/>
      <c r="U4" s="8"/>
    </row>
    <row r="5" spans="1:21" s="7" customFormat="1" ht="22.5" customHeight="1" x14ac:dyDescent="0.15">
      <c r="A5" s="20" t="s">
        <v>14</v>
      </c>
      <c r="B5" s="71" t="s">
        <v>15</v>
      </c>
      <c r="C5" s="72"/>
      <c r="D5" s="19" t="s">
        <v>16</v>
      </c>
      <c r="E5" s="20" t="s">
        <v>17</v>
      </c>
      <c r="F5" s="4" t="s">
        <v>18</v>
      </c>
      <c r="G5" s="4" t="s">
        <v>26</v>
      </c>
      <c r="H5" s="4" t="s">
        <v>19</v>
      </c>
      <c r="I5" s="19" t="s">
        <v>20</v>
      </c>
      <c r="J5" s="18" t="s">
        <v>53</v>
      </c>
      <c r="K5" s="93" t="s">
        <v>55</v>
      </c>
      <c r="L5" s="66"/>
      <c r="M5" s="18" t="s">
        <v>21</v>
      </c>
      <c r="N5" s="17" t="s">
        <v>22</v>
      </c>
      <c r="O5" s="17" t="s">
        <v>23</v>
      </c>
      <c r="P5" s="16" t="s">
        <v>24</v>
      </c>
      <c r="R5" s="8"/>
      <c r="S5" s="8"/>
      <c r="T5" s="8"/>
      <c r="U5" s="8"/>
    </row>
    <row r="6" spans="1:21" s="7" customFormat="1" ht="36" customHeight="1" x14ac:dyDescent="0.15">
      <c r="A6" s="5" t="s">
        <v>168</v>
      </c>
      <c r="B6" s="73" t="s">
        <v>169</v>
      </c>
      <c r="C6" s="74"/>
      <c r="D6" s="13" t="s">
        <v>170</v>
      </c>
      <c r="E6" s="15" t="s">
        <v>27</v>
      </c>
      <c r="F6" s="14" t="s">
        <v>171</v>
      </c>
      <c r="G6" s="14"/>
      <c r="H6" s="14" t="s">
        <v>172</v>
      </c>
      <c r="I6" s="13" t="s">
        <v>173</v>
      </c>
      <c r="J6" s="12"/>
      <c r="K6" s="91"/>
      <c r="L6" s="92"/>
      <c r="M6" s="11"/>
      <c r="N6" s="11"/>
      <c r="O6" s="11"/>
      <c r="P6" s="10"/>
      <c r="R6" s="8"/>
      <c r="S6" s="8"/>
      <c r="T6" s="8"/>
      <c r="U6" s="8"/>
    </row>
    <row r="7" spans="1:21" s="48" customFormat="1" ht="204" x14ac:dyDescent="0.15">
      <c r="A7" s="45"/>
      <c r="B7" s="73"/>
      <c r="C7" s="74"/>
      <c r="D7" s="13" t="s">
        <v>174</v>
      </c>
      <c r="E7" s="15" t="s">
        <v>7</v>
      </c>
      <c r="F7" s="14" t="s">
        <v>175</v>
      </c>
      <c r="G7" s="14" t="s">
        <v>176</v>
      </c>
      <c r="H7" s="14"/>
      <c r="I7" s="13" t="s">
        <v>177</v>
      </c>
      <c r="J7" s="46"/>
      <c r="K7" s="63"/>
      <c r="L7" s="64"/>
      <c r="M7" s="47"/>
      <c r="N7" s="47"/>
      <c r="O7" s="47"/>
      <c r="P7" s="50"/>
      <c r="R7" s="49"/>
      <c r="S7" s="49"/>
      <c r="T7" s="49"/>
      <c r="U7" s="49"/>
    </row>
    <row r="8" spans="1:21" s="48" customFormat="1" ht="180" x14ac:dyDescent="0.15">
      <c r="A8" s="45"/>
      <c r="B8" s="73"/>
      <c r="C8" s="74"/>
      <c r="D8" s="13" t="s">
        <v>178</v>
      </c>
      <c r="E8" s="15" t="s">
        <v>38</v>
      </c>
      <c r="F8" s="14" t="s">
        <v>179</v>
      </c>
      <c r="G8" s="14" t="s">
        <v>180</v>
      </c>
      <c r="H8" s="14"/>
      <c r="I8" s="13" t="s">
        <v>181</v>
      </c>
      <c r="J8" s="46"/>
      <c r="K8" s="63"/>
      <c r="L8" s="64"/>
      <c r="M8" s="47"/>
      <c r="N8" s="47"/>
      <c r="O8" s="47"/>
      <c r="P8" s="50"/>
      <c r="R8" s="49"/>
      <c r="S8" s="49"/>
      <c r="T8" s="49"/>
      <c r="U8" s="49"/>
    </row>
    <row r="9" spans="1:21" s="48" customFormat="1" ht="36" x14ac:dyDescent="0.15">
      <c r="A9" s="45"/>
      <c r="B9" s="73"/>
      <c r="C9" s="74"/>
      <c r="D9" s="13" t="s">
        <v>182</v>
      </c>
      <c r="E9" s="15" t="s">
        <v>28</v>
      </c>
      <c r="F9" s="14" t="s">
        <v>183</v>
      </c>
      <c r="G9" s="14" t="s">
        <v>184</v>
      </c>
      <c r="H9" s="14"/>
      <c r="I9" s="13"/>
      <c r="J9" s="46"/>
      <c r="K9" s="63"/>
      <c r="L9" s="64"/>
      <c r="M9" s="47"/>
      <c r="N9" s="47"/>
      <c r="O9" s="47"/>
      <c r="P9" s="50"/>
      <c r="R9" s="49"/>
      <c r="S9" s="49"/>
      <c r="T9" s="49"/>
      <c r="U9" s="49"/>
    </row>
    <row r="10" spans="1:21" s="48" customFormat="1" ht="30" customHeight="1" x14ac:dyDescent="0.15">
      <c r="A10" s="45"/>
      <c r="B10" s="73"/>
      <c r="C10" s="74"/>
      <c r="D10" s="13"/>
      <c r="E10" s="15" t="s">
        <v>29</v>
      </c>
      <c r="F10" s="14" t="s">
        <v>185</v>
      </c>
      <c r="G10" s="14"/>
      <c r="H10" s="14" t="s">
        <v>186</v>
      </c>
      <c r="I10" s="13"/>
      <c r="J10" s="46"/>
      <c r="K10" s="63"/>
      <c r="L10" s="64"/>
      <c r="M10" s="47"/>
      <c r="N10" s="47"/>
      <c r="O10" s="47"/>
      <c r="P10" s="50"/>
      <c r="R10" s="49"/>
      <c r="S10" s="49"/>
      <c r="T10" s="49"/>
      <c r="U10" s="49"/>
    </row>
    <row r="11" spans="1:21" s="7" customFormat="1" ht="36" customHeight="1" x14ac:dyDescent="0.15">
      <c r="A11" s="5" t="s">
        <v>37</v>
      </c>
      <c r="B11" s="73" t="s">
        <v>56</v>
      </c>
      <c r="C11" s="74"/>
      <c r="D11" s="13" t="s">
        <v>57</v>
      </c>
      <c r="E11" s="15" t="s">
        <v>30</v>
      </c>
      <c r="F11" s="14" t="s">
        <v>82</v>
      </c>
      <c r="G11" s="14"/>
      <c r="H11" s="14" t="s">
        <v>61</v>
      </c>
      <c r="I11" s="13" t="s">
        <v>52</v>
      </c>
      <c r="J11" s="12"/>
      <c r="K11" s="91"/>
      <c r="L11" s="92"/>
      <c r="M11" s="11"/>
      <c r="N11" s="11"/>
      <c r="O11" s="11"/>
      <c r="P11" s="10"/>
      <c r="R11" s="8"/>
      <c r="S11" s="8"/>
      <c r="T11" s="8"/>
      <c r="U11" s="8"/>
    </row>
    <row r="12" spans="1:21" s="48" customFormat="1" ht="30" customHeight="1" x14ac:dyDescent="0.15">
      <c r="A12" s="45"/>
      <c r="B12" s="73"/>
      <c r="C12" s="74"/>
      <c r="D12" s="13"/>
      <c r="E12" s="15" t="s">
        <v>31</v>
      </c>
      <c r="F12" s="14" t="s">
        <v>85</v>
      </c>
      <c r="G12" s="14"/>
      <c r="H12" s="14" t="s">
        <v>61</v>
      </c>
      <c r="I12" s="13"/>
      <c r="J12" s="46"/>
      <c r="K12" s="63"/>
      <c r="L12" s="64"/>
      <c r="M12" s="47"/>
      <c r="N12" s="47"/>
      <c r="O12" s="47"/>
      <c r="P12" s="42"/>
      <c r="R12" s="49"/>
      <c r="S12" s="49"/>
      <c r="T12" s="49"/>
      <c r="U12" s="49"/>
    </row>
    <row r="13" spans="1:21" s="48" customFormat="1" ht="30" customHeight="1" x14ac:dyDescent="0.15">
      <c r="A13" s="45"/>
      <c r="B13" s="73"/>
      <c r="C13" s="74"/>
      <c r="D13" s="13"/>
      <c r="E13" s="15" t="s">
        <v>32</v>
      </c>
      <c r="F13" s="14" t="s">
        <v>86</v>
      </c>
      <c r="G13" s="14"/>
      <c r="H13" s="14" t="s">
        <v>61</v>
      </c>
      <c r="I13" s="13"/>
      <c r="J13" s="46"/>
      <c r="K13" s="63"/>
      <c r="L13" s="64"/>
      <c r="M13" s="47"/>
      <c r="N13" s="47"/>
      <c r="O13" s="47"/>
      <c r="P13" s="42"/>
      <c r="R13" s="49"/>
      <c r="S13" s="49"/>
      <c r="T13" s="49"/>
      <c r="U13" s="49"/>
    </row>
    <row r="14" spans="1:21" s="48" customFormat="1" ht="30" customHeight="1" x14ac:dyDescent="0.15">
      <c r="A14" s="45"/>
      <c r="B14" s="73"/>
      <c r="C14" s="74"/>
      <c r="D14" s="13"/>
      <c r="E14" s="15" t="s">
        <v>33</v>
      </c>
      <c r="F14" s="14" t="s">
        <v>87</v>
      </c>
      <c r="G14" s="14"/>
      <c r="H14" s="14" t="s">
        <v>61</v>
      </c>
      <c r="I14" s="13"/>
      <c r="J14" s="46"/>
      <c r="K14" s="63"/>
      <c r="L14" s="64"/>
      <c r="M14" s="47"/>
      <c r="N14" s="47"/>
      <c r="O14" s="47"/>
      <c r="P14" s="42"/>
      <c r="R14" s="49"/>
      <c r="S14" s="49"/>
      <c r="T14" s="49"/>
      <c r="U14" s="49"/>
    </row>
    <row r="15" spans="1:21" s="48" customFormat="1" ht="30" customHeight="1" x14ac:dyDescent="0.15">
      <c r="A15" s="45"/>
      <c r="B15" s="73"/>
      <c r="C15" s="74"/>
      <c r="D15" s="13"/>
      <c r="E15" s="15" t="s">
        <v>34</v>
      </c>
      <c r="F15" s="14" t="s">
        <v>83</v>
      </c>
      <c r="G15" s="14"/>
      <c r="H15" s="14" t="s">
        <v>61</v>
      </c>
      <c r="I15" s="13"/>
      <c r="J15" s="46"/>
      <c r="K15" s="63"/>
      <c r="L15" s="64"/>
      <c r="M15" s="47"/>
      <c r="N15" s="47"/>
      <c r="O15" s="47"/>
      <c r="P15" s="42"/>
      <c r="R15" s="49"/>
      <c r="S15" s="49"/>
      <c r="T15" s="49"/>
      <c r="U15" s="49"/>
    </row>
    <row r="16" spans="1:21" s="48" customFormat="1" ht="30" customHeight="1" x14ac:dyDescent="0.15">
      <c r="A16" s="45"/>
      <c r="B16" s="73"/>
      <c r="C16" s="74"/>
      <c r="D16" s="13"/>
      <c r="E16" s="15" t="s">
        <v>35</v>
      </c>
      <c r="F16" s="14" t="s">
        <v>63</v>
      </c>
      <c r="G16" s="14"/>
      <c r="H16" s="13" t="s">
        <v>62</v>
      </c>
      <c r="I16" s="13"/>
      <c r="J16" s="46"/>
      <c r="K16" s="63"/>
      <c r="L16" s="64"/>
      <c r="M16" s="47"/>
      <c r="N16" s="47"/>
      <c r="O16" s="47"/>
      <c r="P16" s="42"/>
      <c r="R16" s="49"/>
      <c r="S16" s="49"/>
      <c r="T16" s="49"/>
      <c r="U16" s="49"/>
    </row>
    <row r="17" spans="1:21" s="48" customFormat="1" ht="60" x14ac:dyDescent="0.15">
      <c r="A17" s="45"/>
      <c r="B17" s="73"/>
      <c r="C17" s="74"/>
      <c r="D17" s="13"/>
      <c r="E17" s="15" t="s">
        <v>66</v>
      </c>
      <c r="F17" s="14" t="s">
        <v>88</v>
      </c>
      <c r="G17" s="14"/>
      <c r="H17" s="13" t="s">
        <v>115</v>
      </c>
      <c r="I17" s="13"/>
      <c r="J17" s="46"/>
      <c r="K17" s="63"/>
      <c r="L17" s="64"/>
      <c r="M17" s="47"/>
      <c r="N17" s="47"/>
      <c r="O17" s="47"/>
      <c r="P17" s="42"/>
      <c r="R17" s="49"/>
      <c r="S17" s="49"/>
      <c r="T17" s="49"/>
      <c r="U17" s="49"/>
    </row>
    <row r="18" spans="1:21" s="48" customFormat="1" ht="30" customHeight="1" x14ac:dyDescent="0.15">
      <c r="A18" s="45"/>
      <c r="B18" s="73"/>
      <c r="C18" s="74"/>
      <c r="D18" s="13"/>
      <c r="E18" s="15" t="s">
        <v>67</v>
      </c>
      <c r="F18" s="14" t="s">
        <v>84</v>
      </c>
      <c r="G18" s="14"/>
      <c r="H18" s="13" t="s">
        <v>64</v>
      </c>
      <c r="I18" s="13"/>
      <c r="J18" s="46"/>
      <c r="K18" s="63"/>
      <c r="L18" s="64"/>
      <c r="M18" s="47"/>
      <c r="N18" s="47"/>
      <c r="O18" s="47"/>
      <c r="P18" s="42"/>
      <c r="R18" s="49"/>
      <c r="S18" s="49"/>
      <c r="T18" s="49"/>
      <c r="U18" s="49"/>
    </row>
    <row r="19" spans="1:21" s="48" customFormat="1" ht="30" customHeight="1" x14ac:dyDescent="0.15">
      <c r="A19" s="45"/>
      <c r="B19" s="73"/>
      <c r="C19" s="74"/>
      <c r="D19" s="13" t="s">
        <v>65</v>
      </c>
      <c r="E19" s="15" t="s">
        <v>68</v>
      </c>
      <c r="F19" s="14" t="s">
        <v>81</v>
      </c>
      <c r="G19" s="14"/>
      <c r="H19" s="14" t="s">
        <v>61</v>
      </c>
      <c r="I19" s="13"/>
      <c r="J19" s="46"/>
      <c r="K19" s="63"/>
      <c r="L19" s="64"/>
      <c r="M19" s="47"/>
      <c r="N19" s="47"/>
      <c r="O19" s="47"/>
      <c r="P19" s="42"/>
      <c r="R19" s="49"/>
      <c r="S19" s="49"/>
      <c r="T19" s="49"/>
      <c r="U19" s="49"/>
    </row>
    <row r="20" spans="1:21" s="48" customFormat="1" ht="24" x14ac:dyDescent="0.15">
      <c r="A20" s="45"/>
      <c r="B20" s="73"/>
      <c r="C20" s="74"/>
      <c r="D20" s="13"/>
      <c r="E20" s="15" t="s">
        <v>69</v>
      </c>
      <c r="F20" s="14" t="s">
        <v>89</v>
      </c>
      <c r="G20" s="14"/>
      <c r="H20" s="13" t="s">
        <v>91</v>
      </c>
      <c r="I20" s="13"/>
      <c r="J20" s="46"/>
      <c r="K20" s="63"/>
      <c r="L20" s="64"/>
      <c r="M20" s="47"/>
      <c r="N20" s="47"/>
      <c r="O20" s="47"/>
      <c r="P20" s="42"/>
      <c r="R20" s="49"/>
      <c r="S20" s="49"/>
      <c r="T20" s="49"/>
      <c r="U20" s="49"/>
    </row>
    <row r="21" spans="1:21" s="48" customFormat="1" ht="36" x14ac:dyDescent="0.15">
      <c r="A21" s="45"/>
      <c r="B21" s="73"/>
      <c r="C21" s="74"/>
      <c r="D21" s="13"/>
      <c r="E21" s="15" t="s">
        <v>70</v>
      </c>
      <c r="F21" s="14" t="s">
        <v>92</v>
      </c>
      <c r="G21" s="14"/>
      <c r="H21" s="14" t="s">
        <v>61</v>
      </c>
      <c r="I21" s="13"/>
      <c r="J21" s="46"/>
      <c r="K21" s="63"/>
      <c r="L21" s="64"/>
      <c r="M21" s="47"/>
      <c r="N21" s="47"/>
      <c r="O21" s="47"/>
      <c r="P21" s="42"/>
      <c r="R21" s="49"/>
      <c r="S21" s="49"/>
      <c r="T21" s="49"/>
      <c r="U21" s="49"/>
    </row>
    <row r="22" spans="1:21" s="48" customFormat="1" ht="30" customHeight="1" x14ac:dyDescent="0.15">
      <c r="A22" s="45"/>
      <c r="B22" s="73"/>
      <c r="C22" s="74"/>
      <c r="D22" s="13"/>
      <c r="E22" s="15" t="s">
        <v>71</v>
      </c>
      <c r="F22" s="14" t="s">
        <v>90</v>
      </c>
      <c r="G22" s="14"/>
      <c r="H22" s="13" t="s">
        <v>93</v>
      </c>
      <c r="I22" s="13"/>
      <c r="J22" s="46"/>
      <c r="K22" s="63"/>
      <c r="L22" s="64"/>
      <c r="M22" s="47"/>
      <c r="N22" s="47"/>
      <c r="O22" s="47"/>
      <c r="P22" s="42"/>
      <c r="R22" s="49"/>
      <c r="S22" s="49"/>
      <c r="T22" s="49"/>
      <c r="U22" s="49"/>
    </row>
    <row r="23" spans="1:21" s="48" customFormat="1" ht="96" x14ac:dyDescent="0.15">
      <c r="A23" s="45"/>
      <c r="B23" s="73"/>
      <c r="C23" s="74"/>
      <c r="D23" s="13"/>
      <c r="E23" s="15" t="s">
        <v>72</v>
      </c>
      <c r="F23" s="14" t="s">
        <v>94</v>
      </c>
      <c r="G23" s="14"/>
      <c r="H23" s="14" t="s">
        <v>61</v>
      </c>
      <c r="I23" s="13"/>
      <c r="J23" s="46"/>
      <c r="K23" s="63"/>
      <c r="L23" s="64"/>
      <c r="M23" s="47"/>
      <c r="N23" s="47"/>
      <c r="O23" s="47"/>
      <c r="P23" s="42"/>
      <c r="R23" s="49"/>
      <c r="S23" s="49"/>
      <c r="T23" s="49"/>
      <c r="U23" s="49"/>
    </row>
    <row r="24" spans="1:21" s="48" customFormat="1" ht="30" customHeight="1" x14ac:dyDescent="0.15">
      <c r="A24" s="45"/>
      <c r="B24" s="73"/>
      <c r="C24" s="74"/>
      <c r="D24" s="13"/>
      <c r="E24" s="15" t="s">
        <v>73</v>
      </c>
      <c r="F24" s="14" t="s">
        <v>95</v>
      </c>
      <c r="G24" s="14"/>
      <c r="H24" s="13" t="s">
        <v>101</v>
      </c>
      <c r="I24" s="13"/>
      <c r="J24" s="46"/>
      <c r="K24" s="63"/>
      <c r="L24" s="64"/>
      <c r="M24" s="47"/>
      <c r="N24" s="47"/>
      <c r="O24" s="47"/>
      <c r="P24" s="42"/>
      <c r="R24" s="49"/>
      <c r="S24" s="49"/>
      <c r="T24" s="49"/>
      <c r="U24" s="49"/>
    </row>
    <row r="25" spans="1:21" s="48" customFormat="1" ht="30" customHeight="1" x14ac:dyDescent="0.15">
      <c r="A25" s="45"/>
      <c r="B25" s="73"/>
      <c r="C25" s="74"/>
      <c r="D25" s="13"/>
      <c r="E25" s="15" t="s">
        <v>74</v>
      </c>
      <c r="F25" s="14" t="s">
        <v>96</v>
      </c>
      <c r="G25" s="14"/>
      <c r="H25" s="13" t="s">
        <v>102</v>
      </c>
      <c r="I25" s="13"/>
      <c r="J25" s="46"/>
      <c r="K25" s="63"/>
      <c r="L25" s="64"/>
      <c r="M25" s="47"/>
      <c r="N25" s="47"/>
      <c r="O25" s="47"/>
      <c r="P25" s="42"/>
      <c r="R25" s="49"/>
      <c r="S25" s="49"/>
      <c r="T25" s="49"/>
      <c r="U25" s="49"/>
    </row>
    <row r="26" spans="1:21" s="48" customFormat="1" ht="30" customHeight="1" x14ac:dyDescent="0.15">
      <c r="A26" s="45"/>
      <c r="B26" s="73"/>
      <c r="C26" s="74"/>
      <c r="D26" s="13"/>
      <c r="E26" s="15" t="s">
        <v>75</v>
      </c>
      <c r="F26" s="14" t="s">
        <v>97</v>
      </c>
      <c r="G26" s="14"/>
      <c r="H26" s="13" t="s">
        <v>103</v>
      </c>
      <c r="I26" s="13"/>
      <c r="J26" s="46"/>
      <c r="K26" s="63"/>
      <c r="L26" s="64"/>
      <c r="M26" s="47"/>
      <c r="N26" s="47"/>
      <c r="O26" s="47"/>
      <c r="P26" s="42"/>
      <c r="R26" s="49"/>
      <c r="S26" s="49"/>
      <c r="T26" s="49"/>
      <c r="U26" s="49"/>
    </row>
    <row r="27" spans="1:21" s="48" customFormat="1" ht="30" customHeight="1" x14ac:dyDescent="0.15">
      <c r="A27" s="45"/>
      <c r="B27" s="73"/>
      <c r="C27" s="74"/>
      <c r="D27" s="13"/>
      <c r="E27" s="15" t="s">
        <v>76</v>
      </c>
      <c r="F27" s="14" t="s">
        <v>98</v>
      </c>
      <c r="G27" s="14"/>
      <c r="H27" s="13" t="s">
        <v>104</v>
      </c>
      <c r="I27" s="13"/>
      <c r="J27" s="46"/>
      <c r="K27" s="63"/>
      <c r="L27" s="64"/>
      <c r="M27" s="47"/>
      <c r="N27" s="47"/>
      <c r="O27" s="47"/>
      <c r="P27" s="42"/>
      <c r="R27" s="49"/>
      <c r="S27" s="49"/>
      <c r="T27" s="49"/>
      <c r="U27" s="49"/>
    </row>
    <row r="28" spans="1:21" s="48" customFormat="1" ht="30" customHeight="1" x14ac:dyDescent="0.15">
      <c r="A28" s="45"/>
      <c r="B28" s="73"/>
      <c r="C28" s="74"/>
      <c r="D28" s="13"/>
      <c r="E28" s="15" t="s">
        <v>77</v>
      </c>
      <c r="F28" s="14" t="s">
        <v>99</v>
      </c>
      <c r="G28" s="14"/>
      <c r="H28" s="13" t="s">
        <v>105</v>
      </c>
      <c r="I28" s="13"/>
      <c r="J28" s="46"/>
      <c r="K28" s="63"/>
      <c r="L28" s="64"/>
      <c r="M28" s="47"/>
      <c r="N28" s="47"/>
      <c r="O28" s="47"/>
      <c r="P28" s="42"/>
      <c r="R28" s="49"/>
      <c r="S28" s="49"/>
      <c r="T28" s="49"/>
      <c r="U28" s="49"/>
    </row>
    <row r="29" spans="1:21" s="48" customFormat="1" ht="30" customHeight="1" x14ac:dyDescent="0.15">
      <c r="A29" s="45"/>
      <c r="B29" s="73"/>
      <c r="C29" s="74"/>
      <c r="D29" s="13"/>
      <c r="E29" s="15" t="s">
        <v>78</v>
      </c>
      <c r="F29" s="14" t="s">
        <v>100</v>
      </c>
      <c r="G29" s="14"/>
      <c r="H29" s="13" t="s">
        <v>106</v>
      </c>
      <c r="I29" s="13"/>
      <c r="J29" s="46"/>
      <c r="K29" s="63"/>
      <c r="L29" s="64"/>
      <c r="M29" s="47"/>
      <c r="N29" s="47"/>
      <c r="O29" s="47"/>
      <c r="P29" s="42"/>
      <c r="R29" s="49"/>
      <c r="S29" s="49"/>
      <c r="T29" s="49"/>
      <c r="U29" s="49"/>
    </row>
    <row r="30" spans="1:21" s="48" customFormat="1" ht="30" customHeight="1" x14ac:dyDescent="0.15">
      <c r="A30" s="45"/>
      <c r="B30" s="73"/>
      <c r="C30" s="74"/>
      <c r="D30" s="13" t="s">
        <v>107</v>
      </c>
      <c r="E30" s="15" t="s">
        <v>79</v>
      </c>
      <c r="F30" s="14" t="s">
        <v>108</v>
      </c>
      <c r="G30" s="14"/>
      <c r="H30" s="14" t="s">
        <v>61</v>
      </c>
      <c r="I30" s="13"/>
      <c r="J30" s="46"/>
      <c r="K30" s="63"/>
      <c r="L30" s="64"/>
      <c r="M30" s="47"/>
      <c r="N30" s="47"/>
      <c r="O30" s="47"/>
      <c r="P30" s="42"/>
      <c r="R30" s="49"/>
      <c r="S30" s="49"/>
      <c r="T30" s="49"/>
      <c r="U30" s="49"/>
    </row>
    <row r="31" spans="1:21" s="48" customFormat="1" ht="36" x14ac:dyDescent="0.15">
      <c r="A31" s="45"/>
      <c r="B31" s="73"/>
      <c r="C31" s="74"/>
      <c r="D31" s="13"/>
      <c r="E31" s="15" t="s">
        <v>80</v>
      </c>
      <c r="F31" s="14" t="s">
        <v>110</v>
      </c>
      <c r="G31" s="14"/>
      <c r="H31" s="14" t="s">
        <v>109</v>
      </c>
      <c r="I31" s="13"/>
      <c r="J31" s="46"/>
      <c r="K31" s="63"/>
      <c r="L31" s="64"/>
      <c r="M31" s="47"/>
      <c r="N31" s="47"/>
      <c r="O31" s="47"/>
      <c r="P31" s="42"/>
      <c r="R31" s="49"/>
      <c r="S31" s="49"/>
      <c r="T31" s="49"/>
      <c r="U31" s="49"/>
    </row>
    <row r="32" spans="1:21" s="48" customFormat="1" ht="36" x14ac:dyDescent="0.15">
      <c r="A32" s="45"/>
      <c r="B32" s="73"/>
      <c r="C32" s="74"/>
      <c r="D32" s="13"/>
      <c r="E32" s="15" t="s">
        <v>187</v>
      </c>
      <c r="F32" s="14" t="s">
        <v>111</v>
      </c>
      <c r="G32" s="14"/>
      <c r="H32" s="14" t="s">
        <v>112</v>
      </c>
      <c r="I32" s="13"/>
      <c r="J32" s="46"/>
      <c r="K32" s="63"/>
      <c r="L32" s="64"/>
      <c r="M32" s="47"/>
      <c r="N32" s="47"/>
      <c r="O32" s="47"/>
      <c r="P32" s="42"/>
      <c r="R32" s="49"/>
      <c r="S32" s="49"/>
      <c r="T32" s="49"/>
      <c r="U32" s="49"/>
    </row>
    <row r="33" spans="1:21" s="48" customFormat="1" ht="30" customHeight="1" x14ac:dyDescent="0.15">
      <c r="A33" s="45"/>
      <c r="B33" s="73"/>
      <c r="C33" s="74"/>
      <c r="D33" s="13"/>
      <c r="E33" s="15" t="s">
        <v>188</v>
      </c>
      <c r="F33" s="14" t="s">
        <v>63</v>
      </c>
      <c r="G33" s="14"/>
      <c r="H33" s="13" t="s">
        <v>62</v>
      </c>
      <c r="I33" s="13"/>
      <c r="J33" s="46"/>
      <c r="K33" s="63"/>
      <c r="L33" s="64"/>
      <c r="M33" s="47"/>
      <c r="N33" s="47"/>
      <c r="O33" s="47"/>
      <c r="P33" s="42"/>
      <c r="R33" s="49"/>
      <c r="S33" s="49"/>
      <c r="T33" s="49"/>
      <c r="U33" s="49"/>
    </row>
    <row r="34" spans="1:21" s="48" customFormat="1" ht="24" x14ac:dyDescent="0.15">
      <c r="A34" s="45"/>
      <c r="B34" s="73"/>
      <c r="C34" s="74"/>
      <c r="D34" s="13"/>
      <c r="E34" s="15" t="s">
        <v>189</v>
      </c>
      <c r="F34" s="14" t="s">
        <v>113</v>
      </c>
      <c r="G34" s="14"/>
      <c r="H34" s="13" t="s">
        <v>114</v>
      </c>
      <c r="I34" s="13"/>
      <c r="J34" s="46"/>
      <c r="K34" s="63"/>
      <c r="L34" s="64"/>
      <c r="M34" s="47"/>
      <c r="N34" s="47"/>
      <c r="O34" s="47"/>
      <c r="P34" s="42"/>
      <c r="R34" s="49"/>
      <c r="S34" s="49"/>
      <c r="T34" s="49"/>
      <c r="U34" s="49"/>
    </row>
    <row r="35" spans="1:21" s="48" customFormat="1" ht="36" x14ac:dyDescent="0.15">
      <c r="A35" s="45"/>
      <c r="B35" s="73"/>
      <c r="C35" s="74"/>
      <c r="D35" s="13"/>
      <c r="E35" s="15" t="s">
        <v>190</v>
      </c>
      <c r="F35" s="14" t="s">
        <v>116</v>
      </c>
      <c r="G35" s="14"/>
      <c r="H35" s="13" t="s">
        <v>117</v>
      </c>
      <c r="I35" s="13"/>
      <c r="J35" s="46"/>
      <c r="K35" s="63"/>
      <c r="L35" s="64"/>
      <c r="M35" s="47"/>
      <c r="N35" s="47"/>
      <c r="O35" s="47"/>
      <c r="P35" s="42"/>
      <c r="R35" s="49"/>
      <c r="S35" s="49"/>
      <c r="T35" s="49"/>
      <c r="U35" s="49"/>
    </row>
    <row r="36" spans="1:21" s="48" customFormat="1" ht="36" x14ac:dyDescent="0.15">
      <c r="A36" s="45"/>
      <c r="B36" s="73"/>
      <c r="C36" s="74"/>
      <c r="D36" s="13"/>
      <c r="E36" s="15" t="s">
        <v>191</v>
      </c>
      <c r="F36" s="14" t="s">
        <v>118</v>
      </c>
      <c r="G36" s="14"/>
      <c r="H36" s="13" t="s">
        <v>132</v>
      </c>
      <c r="I36" s="13"/>
      <c r="J36" s="46"/>
      <c r="K36" s="63"/>
      <c r="L36" s="64"/>
      <c r="M36" s="47"/>
      <c r="N36" s="47"/>
      <c r="O36" s="47"/>
      <c r="P36" s="42"/>
      <c r="R36" s="49"/>
      <c r="S36" s="49"/>
      <c r="T36" s="49"/>
      <c r="U36" s="49"/>
    </row>
  </sheetData>
  <mergeCells count="74">
    <mergeCell ref="B36:C36"/>
    <mergeCell ref="K36:L36"/>
    <mergeCell ref="B6:C6"/>
    <mergeCell ref="K6:L6"/>
    <mergeCell ref="B7:C7"/>
    <mergeCell ref="K7:L7"/>
    <mergeCell ref="B8:C8"/>
    <mergeCell ref="K8:L8"/>
    <mergeCell ref="B9:C9"/>
    <mergeCell ref="K9:L9"/>
    <mergeCell ref="B10:C10"/>
    <mergeCell ref="K10:L10"/>
    <mergeCell ref="B33:C33"/>
    <mergeCell ref="K33:L33"/>
    <mergeCell ref="B34:C34"/>
    <mergeCell ref="K34:L34"/>
    <mergeCell ref="B35:C35"/>
    <mergeCell ref="K35:L35"/>
    <mergeCell ref="B30:C30"/>
    <mergeCell ref="K30:L30"/>
    <mergeCell ref="B31:C31"/>
    <mergeCell ref="K31:L31"/>
    <mergeCell ref="B32:C32"/>
    <mergeCell ref="K32:L32"/>
    <mergeCell ref="B27:C27"/>
    <mergeCell ref="K27:L27"/>
    <mergeCell ref="B28:C28"/>
    <mergeCell ref="K28:L28"/>
    <mergeCell ref="B29:C29"/>
    <mergeCell ref="K29:L29"/>
    <mergeCell ref="B24:C24"/>
    <mergeCell ref="K24:L24"/>
    <mergeCell ref="B25:C25"/>
    <mergeCell ref="K25:L25"/>
    <mergeCell ref="B26:C26"/>
    <mergeCell ref="K26:L26"/>
    <mergeCell ref="K21:L21"/>
    <mergeCell ref="B22:C22"/>
    <mergeCell ref="K22:L22"/>
    <mergeCell ref="B23:C23"/>
    <mergeCell ref="K23:L23"/>
    <mergeCell ref="B17:C17"/>
    <mergeCell ref="B18:C18"/>
    <mergeCell ref="B19:C19"/>
    <mergeCell ref="B20:C20"/>
    <mergeCell ref="B21:C21"/>
    <mergeCell ref="B12:C12"/>
    <mergeCell ref="B13:C13"/>
    <mergeCell ref="B14:C14"/>
    <mergeCell ref="B15:C15"/>
    <mergeCell ref="B16:C16"/>
    <mergeCell ref="F1:G1"/>
    <mergeCell ref="H1:P1"/>
    <mergeCell ref="B1:E1"/>
    <mergeCell ref="B5:C5"/>
    <mergeCell ref="B11:C11"/>
    <mergeCell ref="A4:D4"/>
    <mergeCell ref="E4:I4"/>
    <mergeCell ref="J4:L4"/>
    <mergeCell ref="M4:P4"/>
    <mergeCell ref="A2:A3"/>
    <mergeCell ref="B2:E3"/>
    <mergeCell ref="F2:G3"/>
    <mergeCell ref="K11:L11"/>
    <mergeCell ref="K5:L5"/>
    <mergeCell ref="K12:L12"/>
    <mergeCell ref="K13:L13"/>
    <mergeCell ref="K14:L14"/>
    <mergeCell ref="K20:L20"/>
    <mergeCell ref="K15:L15"/>
    <mergeCell ref="K16:L16"/>
    <mergeCell ref="K17:L17"/>
    <mergeCell ref="K18:L18"/>
    <mergeCell ref="K19:L19"/>
  </mergeCells>
  <phoneticPr fontId="6" type="noConversion"/>
  <conditionalFormatting sqref="AB17:AB19 AB1:AB5 AB21:AB405 AB11:AB15">
    <cfRule type="expression" dxfId="111" priority="76">
      <formula>$AB1&gt;$AA1</formula>
    </cfRule>
  </conditionalFormatting>
  <conditionalFormatting sqref="AI17:AI19 AI1:AI5 AI21:AI405 AI11:AI15">
    <cfRule type="expression" dxfId="110" priority="75">
      <formula>$AI1&gt;$AH1</formula>
    </cfRule>
  </conditionalFormatting>
  <conditionalFormatting sqref="AD37:AG405 W37:Z405 R37:U405 AD17:AG19 W17:Z19 R17:U19 AD1:AG5 W1:Z5 R1:U5 R11:U15 W11:Z15 AD11:AG15">
    <cfRule type="expression" dxfId="109" priority="74">
      <formula>OR(WEEKDAY(R1)=1, WEEKDAY(R1)=7)</formula>
    </cfRule>
  </conditionalFormatting>
  <conditionalFormatting sqref="N37:N405 K37:K405 J21:J36">
    <cfRule type="expression" dxfId="108" priority="73">
      <formula>OR($K21="추가", $K21="변경", $K21="삭제")</formula>
    </cfRule>
  </conditionalFormatting>
  <conditionalFormatting sqref="J2">
    <cfRule type="expression" dxfId="107" priority="72">
      <formula>OR(#REF!="추가", #REF!="변경", #REF!="삭제")</formula>
    </cfRule>
  </conditionalFormatting>
  <conditionalFormatting sqref="J11">
    <cfRule type="expression" dxfId="106" priority="66">
      <formula>OR($K11="추가", $K11="변경", $K11="삭제")</formula>
    </cfRule>
  </conditionalFormatting>
  <conditionalFormatting sqref="J4">
    <cfRule type="expression" dxfId="105" priority="67">
      <formula>OR($K4="추가", $K4="변경", $K4="삭제")</formula>
    </cfRule>
  </conditionalFormatting>
  <conditionalFormatting sqref="J12">
    <cfRule type="expression" dxfId="104" priority="65">
      <formula>OR($K12="추가", $K12="변경", $K12="삭제")</formula>
    </cfRule>
  </conditionalFormatting>
  <conditionalFormatting sqref="M4">
    <cfRule type="expression" dxfId="103" priority="63">
      <formula>OR($K4="추가", $K4="변경", $K4="삭제")</formula>
    </cfRule>
  </conditionalFormatting>
  <conditionalFormatting sqref="O2:O3 P2">
    <cfRule type="expression" dxfId="102" priority="78">
      <formula>OR(#REF!="추가", #REF!="변경", #REF!="삭제")</formula>
    </cfRule>
  </conditionalFormatting>
  <conditionalFormatting sqref="AB16">
    <cfRule type="expression" dxfId="101" priority="50">
      <formula>$AB16&gt;$AA16</formula>
    </cfRule>
  </conditionalFormatting>
  <conditionalFormatting sqref="AI16">
    <cfRule type="expression" dxfId="100" priority="49">
      <formula>$AI16&gt;$AH16</formula>
    </cfRule>
  </conditionalFormatting>
  <conditionalFormatting sqref="R16:U16 W16:Z16 AD16:AG16">
    <cfRule type="expression" dxfId="99" priority="48">
      <formula>OR(WEEKDAY(R16)=1, WEEKDAY(R16)=7)</formula>
    </cfRule>
  </conditionalFormatting>
  <conditionalFormatting sqref="AB20">
    <cfRule type="expression" dxfId="98" priority="35">
      <formula>$AB20&gt;$AA20</formula>
    </cfRule>
  </conditionalFormatting>
  <conditionalFormatting sqref="AI20">
    <cfRule type="expression" dxfId="97" priority="34">
      <formula>$AI20&gt;$AH20</formula>
    </cfRule>
  </conditionalFormatting>
  <conditionalFormatting sqref="R20:U20 W20:Z20 AD20:AG20">
    <cfRule type="expression" dxfId="96" priority="32">
      <formula>OR(WEEKDAY(R20)=1, WEEKDAY(R20)=7)</formula>
    </cfRule>
  </conditionalFormatting>
  <conditionalFormatting sqref="AD14:AG14 W14:Z14 R14:U14">
    <cfRule type="expression" dxfId="95" priority="16">
      <formula>OR(WEEKDAY(R14)=1, WEEKDAY(R14)=7)</formula>
    </cfRule>
  </conditionalFormatting>
  <conditionalFormatting sqref="J13:J20">
    <cfRule type="expression" dxfId="94" priority="13">
      <formula>OR($K13="추가", $K13="변경", $K13="삭제")</formula>
    </cfRule>
  </conditionalFormatting>
  <conditionalFormatting sqref="P3">
    <cfRule type="expression" dxfId="93" priority="12">
      <formula>OR($J3="추가", $J3="변경", $J3="삭제")</formula>
    </cfRule>
  </conditionalFormatting>
  <conditionalFormatting sqref="J5 M5:N5">
    <cfRule type="expression" dxfId="92" priority="164">
      <formula>OR(#REF!="추가", #REF!="변경", #REF!="삭제")</formula>
    </cfRule>
  </conditionalFormatting>
  <conditionalFormatting sqref="R21:U36 W21:Z36 AD21:AG36">
    <cfRule type="expression" dxfId="91" priority="9">
      <formula>OR(WEEKDAY(R21)=1, WEEKDAY(R21)=7)</formula>
    </cfRule>
  </conditionalFormatting>
  <conditionalFormatting sqref="AB6:AB10">
    <cfRule type="expression" dxfId="90" priority="7">
      <formula>$AB6&gt;$AA6</formula>
    </cfRule>
  </conditionalFormatting>
  <conditionalFormatting sqref="AI6:AI10">
    <cfRule type="expression" dxfId="89" priority="6">
      <formula>$AI6&gt;$AH6</formula>
    </cfRule>
  </conditionalFormatting>
  <conditionalFormatting sqref="AD6:AG10 W6:Z10 R6:U10">
    <cfRule type="expression" dxfId="88" priority="5">
      <formula>OR(WEEKDAY(R6)=1, WEEKDAY(R6)=7)</formula>
    </cfRule>
  </conditionalFormatting>
  <conditionalFormatting sqref="J6">
    <cfRule type="expression" dxfId="87" priority="4">
      <formula>OR($K6="추가", $K6="변경", $K6="삭제")</formula>
    </cfRule>
  </conditionalFormatting>
  <conditionalFormatting sqref="J7">
    <cfRule type="expression" dxfId="86" priority="3">
      <formula>OR($K7="추가", $K7="변경", $K7="삭제")</formula>
    </cfRule>
  </conditionalFormatting>
  <conditionalFormatting sqref="AD9:AG9 W9:Z9 R9:U9">
    <cfRule type="expression" dxfId="85" priority="2">
      <formula>OR(WEEKDAY(R9)=1, WEEKDAY(R9)=7)</formula>
    </cfRule>
  </conditionalFormatting>
  <conditionalFormatting sqref="J8:J10">
    <cfRule type="expression" dxfId="84" priority="1">
      <formula>OR($K8="추가", $K8="변경", $K8="삭제")</formula>
    </cfRule>
  </conditionalFormatting>
  <dataValidations count="1">
    <dataValidation type="list" showInputMessage="1" showErrorMessage="1" sqref="P3 J6:J36">
      <formula1>"-,P,F,N/A"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Header>&amp;L디지털무역기반구축사업(시스템 개발 3단계)&amp;RD0201_G01_통합테스트시나리오_&amp;A</oddHeader>
    <oddFooter>&amp;L&amp;G&amp;C&amp;P&amp;R&amp;G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6"/>
  <sheetViews>
    <sheetView showGridLines="0" topLeftCell="B1" zoomScale="90" zoomScaleNormal="90" zoomScalePageLayoutView="55" workbookViewId="0">
      <pane ySplit="5" topLeftCell="A6" activePane="bottomLeft" state="frozen"/>
      <selection pane="bottomLeft" activeCell="D8" sqref="D8"/>
    </sheetView>
  </sheetViews>
  <sheetFormatPr defaultColWidth="8.21875" defaultRowHeight="12" x14ac:dyDescent="0.15"/>
  <cols>
    <col min="1" max="1" width="13" style="6" customWidth="1"/>
    <col min="2" max="2" width="15.5546875" style="7" bestFit="1" customWidth="1"/>
    <col min="3" max="3" width="13.5546875" style="7" customWidth="1"/>
    <col min="4" max="4" width="14.21875" style="7" customWidth="1"/>
    <col min="5" max="5" width="3.109375" style="7" bestFit="1" customWidth="1"/>
    <col min="6" max="6" width="33.21875" style="7" customWidth="1"/>
    <col min="7" max="7" width="20.77734375" style="7" customWidth="1"/>
    <col min="8" max="8" width="34.44140625" style="7" customWidth="1"/>
    <col min="9" max="9" width="16.109375" style="9" customWidth="1"/>
    <col min="10" max="10" width="10.6640625" style="1" customWidth="1"/>
    <col min="11" max="11" width="10.6640625" style="7" customWidth="1"/>
    <col min="12" max="12" width="10.6640625" style="8" customWidth="1"/>
    <col min="13" max="14" width="10.6640625" style="7" customWidth="1"/>
    <col min="15" max="16" width="10.6640625" style="8" customWidth="1"/>
    <col min="17" max="17" width="6.21875" style="7" customWidth="1"/>
    <col min="18" max="21" width="14" style="8" bestFit="1" customWidth="1"/>
    <col min="22" max="22" width="6.21875" style="7" bestFit="1" customWidth="1"/>
    <col min="23" max="26" width="13" style="7" bestFit="1" customWidth="1"/>
    <col min="27" max="29" width="6.21875" style="7" bestFit="1" customWidth="1"/>
    <col min="30" max="33" width="13" style="7" bestFit="1" customWidth="1"/>
    <col min="34" max="35" width="6.21875" style="7" bestFit="1" customWidth="1"/>
    <col min="36" max="36" width="22.109375" style="7" customWidth="1"/>
    <col min="37" max="16384" width="8.21875" style="6"/>
  </cols>
  <sheetData>
    <row r="1" spans="1:21" s="7" customFormat="1" ht="39.950000000000003" customHeight="1" x14ac:dyDescent="0.15">
      <c r="A1" s="43" t="s">
        <v>0</v>
      </c>
      <c r="B1" s="68" t="s">
        <v>120</v>
      </c>
      <c r="C1" s="69"/>
      <c r="D1" s="69"/>
      <c r="E1" s="70"/>
      <c r="F1" s="65" t="s">
        <v>12</v>
      </c>
      <c r="G1" s="66"/>
      <c r="H1" s="67" t="s">
        <v>122</v>
      </c>
      <c r="I1" s="67"/>
      <c r="J1" s="67"/>
      <c r="K1" s="67"/>
      <c r="L1" s="67"/>
      <c r="M1" s="67"/>
      <c r="N1" s="67"/>
      <c r="O1" s="67"/>
      <c r="P1" s="67"/>
      <c r="R1" s="8"/>
      <c r="S1" s="8"/>
      <c r="T1" s="8"/>
      <c r="U1" s="8"/>
    </row>
    <row r="2" spans="1:21" s="7" customFormat="1" ht="17.25" customHeight="1" x14ac:dyDescent="0.15">
      <c r="A2" s="83" t="s">
        <v>36</v>
      </c>
      <c r="B2" s="85" t="s">
        <v>121</v>
      </c>
      <c r="C2" s="86"/>
      <c r="D2" s="86"/>
      <c r="E2" s="86"/>
      <c r="F2" s="83" t="s">
        <v>11</v>
      </c>
      <c r="G2" s="89"/>
      <c r="H2" s="23" t="s">
        <v>13</v>
      </c>
      <c r="I2" s="23" t="s">
        <v>10</v>
      </c>
      <c r="J2" s="25" t="s">
        <v>1</v>
      </c>
      <c r="K2" s="25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3" t="s">
        <v>8</v>
      </c>
      <c r="R2" s="8"/>
      <c r="S2" s="8"/>
      <c r="T2" s="8"/>
      <c r="U2" s="8"/>
    </row>
    <row r="3" spans="1:21" s="7" customFormat="1" ht="38.25" customHeight="1" x14ac:dyDescent="0.15">
      <c r="A3" s="84"/>
      <c r="B3" s="87"/>
      <c r="C3" s="88"/>
      <c r="D3" s="88"/>
      <c r="E3" s="88"/>
      <c r="F3" s="84"/>
      <c r="G3" s="90"/>
      <c r="H3" s="23" t="s">
        <v>54</v>
      </c>
      <c r="I3" s="22">
        <v>44790</v>
      </c>
      <c r="J3" s="21">
        <f>COUNTA($F$6:$F$205)</f>
        <v>31</v>
      </c>
      <c r="K3" s="11">
        <f>COUNTIF($J$6:$J$205,"P")</f>
        <v>0</v>
      </c>
      <c r="L3" s="11">
        <f>COUNTIF($J$6:$J$205,"F")</f>
        <v>0</v>
      </c>
      <c r="M3" s="11">
        <f>COUNTIF($J$6:$J$205,"N/A")</f>
        <v>0</v>
      </c>
      <c r="N3" s="21">
        <f>COUNTA($O$6:$O$205)</f>
        <v>0</v>
      </c>
      <c r="O3" s="2" t="str">
        <f>IFERROR(N3/L3,"-")</f>
        <v>-</v>
      </c>
      <c r="P3" s="24" t="s">
        <v>50</v>
      </c>
      <c r="R3" s="8"/>
      <c r="S3" s="8"/>
      <c r="T3" s="8"/>
      <c r="U3" s="8"/>
    </row>
    <row r="4" spans="1:21" s="7" customFormat="1" ht="22.5" customHeight="1" x14ac:dyDescent="0.15">
      <c r="A4" s="75" t="s">
        <v>9</v>
      </c>
      <c r="B4" s="76"/>
      <c r="C4" s="76"/>
      <c r="D4" s="77"/>
      <c r="E4" s="78" t="s">
        <v>25</v>
      </c>
      <c r="F4" s="79"/>
      <c r="G4" s="79"/>
      <c r="H4" s="79"/>
      <c r="I4" s="79"/>
      <c r="J4" s="80" t="s">
        <v>8</v>
      </c>
      <c r="K4" s="81"/>
      <c r="L4" s="82"/>
      <c r="M4" s="81" t="s">
        <v>51</v>
      </c>
      <c r="N4" s="81"/>
      <c r="O4" s="81"/>
      <c r="P4" s="81"/>
      <c r="R4" s="8"/>
      <c r="S4" s="8"/>
      <c r="T4" s="8"/>
      <c r="U4" s="8"/>
    </row>
    <row r="5" spans="1:21" s="7" customFormat="1" ht="22.5" customHeight="1" x14ac:dyDescent="0.15">
      <c r="A5" s="20" t="s">
        <v>14</v>
      </c>
      <c r="B5" s="71" t="s">
        <v>15</v>
      </c>
      <c r="C5" s="72"/>
      <c r="D5" s="19" t="s">
        <v>16</v>
      </c>
      <c r="E5" s="20" t="s">
        <v>17</v>
      </c>
      <c r="F5" s="4" t="s">
        <v>18</v>
      </c>
      <c r="G5" s="4" t="s">
        <v>26</v>
      </c>
      <c r="H5" s="4" t="s">
        <v>19</v>
      </c>
      <c r="I5" s="19" t="s">
        <v>20</v>
      </c>
      <c r="J5" s="18" t="s">
        <v>53</v>
      </c>
      <c r="K5" s="93" t="s">
        <v>55</v>
      </c>
      <c r="L5" s="66"/>
      <c r="M5" s="18" t="s">
        <v>21</v>
      </c>
      <c r="N5" s="17" t="s">
        <v>22</v>
      </c>
      <c r="O5" s="17" t="s">
        <v>23</v>
      </c>
      <c r="P5" s="16" t="s">
        <v>24</v>
      </c>
      <c r="R5" s="8"/>
      <c r="S5" s="8"/>
      <c r="T5" s="8"/>
      <c r="U5" s="8"/>
    </row>
    <row r="6" spans="1:21" s="7" customFormat="1" ht="36" customHeight="1" x14ac:dyDescent="0.15">
      <c r="A6" s="5" t="s">
        <v>192</v>
      </c>
      <c r="B6" s="73" t="s">
        <v>193</v>
      </c>
      <c r="C6" s="74"/>
      <c r="D6" s="13" t="s">
        <v>194</v>
      </c>
      <c r="E6" s="15" t="s">
        <v>27</v>
      </c>
      <c r="F6" s="14" t="s">
        <v>195</v>
      </c>
      <c r="G6" s="14"/>
      <c r="H6" s="14" t="s">
        <v>196</v>
      </c>
      <c r="I6" s="13" t="s">
        <v>197</v>
      </c>
      <c r="J6" s="12"/>
      <c r="K6" s="91"/>
      <c r="L6" s="92"/>
      <c r="M6" s="11"/>
      <c r="N6" s="11"/>
      <c r="O6" s="11"/>
      <c r="P6" s="10"/>
      <c r="R6" s="8"/>
      <c r="S6" s="8"/>
      <c r="T6" s="8"/>
      <c r="U6" s="8"/>
    </row>
    <row r="7" spans="1:21" s="48" customFormat="1" ht="204" x14ac:dyDescent="0.15">
      <c r="A7" s="45"/>
      <c r="B7" s="73"/>
      <c r="C7" s="74"/>
      <c r="D7" s="13" t="s">
        <v>198</v>
      </c>
      <c r="E7" s="15" t="s">
        <v>7</v>
      </c>
      <c r="F7" s="14" t="s">
        <v>199</v>
      </c>
      <c r="G7" s="14" t="s">
        <v>200</v>
      </c>
      <c r="H7" s="14"/>
      <c r="I7" s="13" t="s">
        <v>201</v>
      </c>
      <c r="J7" s="46"/>
      <c r="K7" s="63"/>
      <c r="L7" s="64"/>
      <c r="M7" s="47"/>
      <c r="N7" s="47"/>
      <c r="O7" s="47"/>
      <c r="P7" s="50"/>
      <c r="R7" s="49"/>
      <c r="S7" s="49"/>
      <c r="T7" s="49"/>
      <c r="U7" s="49"/>
    </row>
    <row r="8" spans="1:21" s="48" customFormat="1" ht="192" x14ac:dyDescent="0.15">
      <c r="A8" s="45"/>
      <c r="B8" s="73"/>
      <c r="C8" s="74"/>
      <c r="D8" s="13" t="s">
        <v>202</v>
      </c>
      <c r="E8" s="15" t="s">
        <v>38</v>
      </c>
      <c r="F8" s="14" t="s">
        <v>203</v>
      </c>
      <c r="G8" s="14" t="s">
        <v>204</v>
      </c>
      <c r="H8" s="14"/>
      <c r="I8" s="13" t="s">
        <v>205</v>
      </c>
      <c r="J8" s="46"/>
      <c r="K8" s="63"/>
      <c r="L8" s="64"/>
      <c r="M8" s="47"/>
      <c r="N8" s="47"/>
      <c r="O8" s="47"/>
      <c r="P8" s="50"/>
      <c r="R8" s="49"/>
      <c r="S8" s="49"/>
      <c r="T8" s="49"/>
      <c r="U8" s="49"/>
    </row>
    <row r="9" spans="1:21" s="48" customFormat="1" ht="36" x14ac:dyDescent="0.15">
      <c r="A9" s="45"/>
      <c r="B9" s="73"/>
      <c r="C9" s="74"/>
      <c r="D9" s="13" t="s">
        <v>206</v>
      </c>
      <c r="E9" s="15" t="s">
        <v>28</v>
      </c>
      <c r="F9" s="14" t="s">
        <v>207</v>
      </c>
      <c r="G9" s="14" t="s">
        <v>208</v>
      </c>
      <c r="H9" s="14"/>
      <c r="I9" s="13"/>
      <c r="J9" s="46"/>
      <c r="K9" s="63"/>
      <c r="L9" s="64"/>
      <c r="M9" s="47"/>
      <c r="N9" s="47"/>
      <c r="O9" s="47"/>
      <c r="P9" s="50"/>
      <c r="R9" s="49"/>
      <c r="S9" s="49"/>
      <c r="T9" s="49"/>
      <c r="U9" s="49"/>
    </row>
    <row r="10" spans="1:21" s="48" customFormat="1" ht="24" x14ac:dyDescent="0.15">
      <c r="A10" s="45"/>
      <c r="B10" s="73"/>
      <c r="C10" s="74"/>
      <c r="D10" s="13"/>
      <c r="E10" s="15" t="s">
        <v>29</v>
      </c>
      <c r="F10" s="14" t="s">
        <v>209</v>
      </c>
      <c r="G10" s="14"/>
      <c r="H10" s="14" t="s">
        <v>210</v>
      </c>
      <c r="I10" s="13"/>
      <c r="J10" s="46"/>
      <c r="K10" s="63"/>
      <c r="L10" s="64"/>
      <c r="M10" s="47"/>
      <c r="N10" s="47"/>
      <c r="O10" s="47"/>
      <c r="P10" s="50"/>
      <c r="R10" s="49"/>
      <c r="S10" s="49"/>
      <c r="T10" s="49"/>
      <c r="U10" s="49"/>
    </row>
    <row r="11" spans="1:21" s="7" customFormat="1" ht="36" customHeight="1" x14ac:dyDescent="0.15">
      <c r="A11" s="5" t="s">
        <v>37</v>
      </c>
      <c r="B11" s="73" t="s">
        <v>56</v>
      </c>
      <c r="C11" s="74"/>
      <c r="D11" s="13" t="s">
        <v>57</v>
      </c>
      <c r="E11" s="15" t="s">
        <v>30</v>
      </c>
      <c r="F11" s="14" t="s">
        <v>82</v>
      </c>
      <c r="G11" s="14"/>
      <c r="H11" s="14" t="s">
        <v>61</v>
      </c>
      <c r="I11" s="13" t="s">
        <v>52</v>
      </c>
      <c r="J11" s="12"/>
      <c r="K11" s="91"/>
      <c r="L11" s="92"/>
      <c r="M11" s="11"/>
      <c r="N11" s="11"/>
      <c r="O11" s="11"/>
      <c r="P11" s="10"/>
      <c r="R11" s="8"/>
      <c r="S11" s="8"/>
      <c r="T11" s="8"/>
      <c r="U11" s="8"/>
    </row>
    <row r="12" spans="1:21" s="48" customFormat="1" ht="30" customHeight="1" x14ac:dyDescent="0.15">
      <c r="A12" s="45"/>
      <c r="B12" s="73"/>
      <c r="C12" s="74"/>
      <c r="D12" s="13"/>
      <c r="E12" s="15" t="s">
        <v>31</v>
      </c>
      <c r="F12" s="14" t="s">
        <v>85</v>
      </c>
      <c r="G12" s="14"/>
      <c r="H12" s="14" t="s">
        <v>61</v>
      </c>
      <c r="I12" s="13"/>
      <c r="J12" s="46"/>
      <c r="K12" s="63"/>
      <c r="L12" s="64"/>
      <c r="M12" s="47"/>
      <c r="N12" s="47"/>
      <c r="O12" s="47"/>
      <c r="P12" s="44"/>
      <c r="R12" s="49"/>
      <c r="S12" s="49"/>
      <c r="T12" s="49"/>
      <c r="U12" s="49"/>
    </row>
    <row r="13" spans="1:21" s="48" customFormat="1" ht="30" customHeight="1" x14ac:dyDescent="0.15">
      <c r="A13" s="45"/>
      <c r="B13" s="73"/>
      <c r="C13" s="74"/>
      <c r="D13" s="13"/>
      <c r="E13" s="15" t="s">
        <v>32</v>
      </c>
      <c r="F13" s="14" t="s">
        <v>86</v>
      </c>
      <c r="G13" s="14"/>
      <c r="H13" s="14" t="s">
        <v>61</v>
      </c>
      <c r="I13" s="13"/>
      <c r="J13" s="46"/>
      <c r="K13" s="63"/>
      <c r="L13" s="64"/>
      <c r="M13" s="47"/>
      <c r="N13" s="47"/>
      <c r="O13" s="47"/>
      <c r="P13" s="44"/>
      <c r="R13" s="49"/>
      <c r="S13" s="49"/>
      <c r="T13" s="49"/>
      <c r="U13" s="49"/>
    </row>
    <row r="14" spans="1:21" s="48" customFormat="1" ht="30" customHeight="1" x14ac:dyDescent="0.15">
      <c r="A14" s="45"/>
      <c r="B14" s="73"/>
      <c r="C14" s="74"/>
      <c r="D14" s="13"/>
      <c r="E14" s="15" t="s">
        <v>33</v>
      </c>
      <c r="F14" s="14" t="s">
        <v>87</v>
      </c>
      <c r="G14" s="14"/>
      <c r="H14" s="14" t="s">
        <v>61</v>
      </c>
      <c r="I14" s="13"/>
      <c r="J14" s="46"/>
      <c r="K14" s="63"/>
      <c r="L14" s="64"/>
      <c r="M14" s="47"/>
      <c r="N14" s="47"/>
      <c r="O14" s="47"/>
      <c r="P14" s="44"/>
      <c r="R14" s="49"/>
      <c r="S14" s="49"/>
      <c r="T14" s="49"/>
      <c r="U14" s="49"/>
    </row>
    <row r="15" spans="1:21" s="48" customFormat="1" ht="30" customHeight="1" x14ac:dyDescent="0.15">
      <c r="A15" s="45"/>
      <c r="B15" s="73"/>
      <c r="C15" s="74"/>
      <c r="D15" s="13"/>
      <c r="E15" s="15" t="s">
        <v>34</v>
      </c>
      <c r="F15" s="14" t="s">
        <v>123</v>
      </c>
      <c r="G15" s="14"/>
      <c r="H15" s="14" t="s">
        <v>61</v>
      </c>
      <c r="I15" s="13"/>
      <c r="J15" s="46"/>
      <c r="K15" s="63"/>
      <c r="L15" s="64"/>
      <c r="M15" s="47"/>
      <c r="N15" s="47"/>
      <c r="O15" s="47"/>
      <c r="P15" s="44"/>
      <c r="R15" s="49"/>
      <c r="S15" s="49"/>
      <c r="T15" s="49"/>
      <c r="U15" s="49"/>
    </row>
    <row r="16" spans="1:21" s="48" customFormat="1" ht="30" customHeight="1" x14ac:dyDescent="0.15">
      <c r="A16" s="45"/>
      <c r="B16" s="73"/>
      <c r="C16" s="74"/>
      <c r="D16" s="13"/>
      <c r="E16" s="15" t="s">
        <v>35</v>
      </c>
      <c r="F16" s="14" t="s">
        <v>63</v>
      </c>
      <c r="G16" s="14"/>
      <c r="H16" s="13" t="s">
        <v>62</v>
      </c>
      <c r="I16" s="13"/>
      <c r="J16" s="46"/>
      <c r="K16" s="63"/>
      <c r="L16" s="64"/>
      <c r="M16" s="47"/>
      <c r="N16" s="47"/>
      <c r="O16" s="47"/>
      <c r="P16" s="44"/>
      <c r="R16" s="49"/>
      <c r="S16" s="49"/>
      <c r="T16" s="49"/>
      <c r="U16" s="49"/>
    </row>
    <row r="17" spans="1:21" s="48" customFormat="1" ht="60" x14ac:dyDescent="0.15">
      <c r="A17" s="45"/>
      <c r="B17" s="73"/>
      <c r="C17" s="74"/>
      <c r="D17" s="13"/>
      <c r="E17" s="15" t="s">
        <v>66</v>
      </c>
      <c r="F17" s="14" t="s">
        <v>88</v>
      </c>
      <c r="G17" s="14"/>
      <c r="H17" s="13" t="s">
        <v>115</v>
      </c>
      <c r="I17" s="13"/>
      <c r="J17" s="46"/>
      <c r="K17" s="63"/>
      <c r="L17" s="64"/>
      <c r="M17" s="47"/>
      <c r="N17" s="47"/>
      <c r="O17" s="47"/>
      <c r="P17" s="44"/>
      <c r="R17" s="49"/>
      <c r="S17" s="49"/>
      <c r="T17" s="49"/>
      <c r="U17" s="49"/>
    </row>
    <row r="18" spans="1:21" s="48" customFormat="1" ht="30" customHeight="1" x14ac:dyDescent="0.15">
      <c r="A18" s="45"/>
      <c r="B18" s="73"/>
      <c r="C18" s="74"/>
      <c r="D18" s="13"/>
      <c r="E18" s="15" t="s">
        <v>67</v>
      </c>
      <c r="F18" s="14" t="s">
        <v>84</v>
      </c>
      <c r="G18" s="14"/>
      <c r="H18" s="13" t="s">
        <v>64</v>
      </c>
      <c r="I18" s="13"/>
      <c r="J18" s="46"/>
      <c r="K18" s="63"/>
      <c r="L18" s="64"/>
      <c r="M18" s="47"/>
      <c r="N18" s="47"/>
      <c r="O18" s="47"/>
      <c r="P18" s="44"/>
      <c r="R18" s="49"/>
      <c r="S18" s="49"/>
      <c r="T18" s="49"/>
      <c r="U18" s="49"/>
    </row>
    <row r="19" spans="1:21" s="48" customFormat="1" ht="30" customHeight="1" x14ac:dyDescent="0.15">
      <c r="A19" s="45"/>
      <c r="B19" s="73"/>
      <c r="C19" s="74"/>
      <c r="D19" s="13" t="s">
        <v>65</v>
      </c>
      <c r="E19" s="15" t="s">
        <v>68</v>
      </c>
      <c r="F19" s="14" t="s">
        <v>124</v>
      </c>
      <c r="G19" s="14"/>
      <c r="H19" s="14" t="s">
        <v>61</v>
      </c>
      <c r="I19" s="13"/>
      <c r="J19" s="46"/>
      <c r="K19" s="63"/>
      <c r="L19" s="64"/>
      <c r="M19" s="47"/>
      <c r="N19" s="47"/>
      <c r="O19" s="47"/>
      <c r="P19" s="44"/>
      <c r="R19" s="49"/>
      <c r="S19" s="49"/>
      <c r="T19" s="49"/>
      <c r="U19" s="49"/>
    </row>
    <row r="20" spans="1:21" s="48" customFormat="1" ht="24" x14ac:dyDescent="0.15">
      <c r="A20" s="45"/>
      <c r="B20" s="73"/>
      <c r="C20" s="74"/>
      <c r="D20" s="13"/>
      <c r="E20" s="15" t="s">
        <v>69</v>
      </c>
      <c r="F20" s="14" t="s">
        <v>89</v>
      </c>
      <c r="G20" s="14"/>
      <c r="H20" s="13" t="s">
        <v>91</v>
      </c>
      <c r="I20" s="13"/>
      <c r="J20" s="46"/>
      <c r="K20" s="63"/>
      <c r="L20" s="64"/>
      <c r="M20" s="47"/>
      <c r="N20" s="47"/>
      <c r="O20" s="47"/>
      <c r="P20" s="44"/>
      <c r="R20" s="49"/>
      <c r="S20" s="49"/>
      <c r="T20" s="49"/>
      <c r="U20" s="49"/>
    </row>
    <row r="21" spans="1:21" s="48" customFormat="1" ht="36" x14ac:dyDescent="0.15">
      <c r="A21" s="45"/>
      <c r="B21" s="73"/>
      <c r="C21" s="74"/>
      <c r="D21" s="13"/>
      <c r="E21" s="15" t="s">
        <v>70</v>
      </c>
      <c r="F21" s="14" t="s">
        <v>92</v>
      </c>
      <c r="G21" s="14"/>
      <c r="H21" s="14" t="s">
        <v>61</v>
      </c>
      <c r="I21" s="13"/>
      <c r="J21" s="46"/>
      <c r="K21" s="63"/>
      <c r="L21" s="64"/>
      <c r="M21" s="47"/>
      <c r="N21" s="47"/>
      <c r="O21" s="47"/>
      <c r="P21" s="44"/>
      <c r="R21" s="49"/>
      <c r="S21" s="49"/>
      <c r="T21" s="49"/>
      <c r="U21" s="49"/>
    </row>
    <row r="22" spans="1:21" s="48" customFormat="1" ht="30" customHeight="1" x14ac:dyDescent="0.15">
      <c r="A22" s="45"/>
      <c r="B22" s="73"/>
      <c r="C22" s="74"/>
      <c r="D22" s="13"/>
      <c r="E22" s="15" t="s">
        <v>71</v>
      </c>
      <c r="F22" s="14" t="s">
        <v>90</v>
      </c>
      <c r="G22" s="14"/>
      <c r="H22" s="13" t="s">
        <v>93</v>
      </c>
      <c r="I22" s="13"/>
      <c r="J22" s="46"/>
      <c r="K22" s="63"/>
      <c r="L22" s="64"/>
      <c r="M22" s="47"/>
      <c r="N22" s="47"/>
      <c r="O22" s="47"/>
      <c r="P22" s="44"/>
      <c r="R22" s="49"/>
      <c r="S22" s="49"/>
      <c r="T22" s="49"/>
      <c r="U22" s="49"/>
    </row>
    <row r="23" spans="1:21" s="48" customFormat="1" ht="96" x14ac:dyDescent="0.15">
      <c r="A23" s="45"/>
      <c r="B23" s="73"/>
      <c r="C23" s="74"/>
      <c r="D23" s="13"/>
      <c r="E23" s="15" t="s">
        <v>72</v>
      </c>
      <c r="F23" s="14" t="s">
        <v>94</v>
      </c>
      <c r="G23" s="14"/>
      <c r="H23" s="14" t="s">
        <v>61</v>
      </c>
      <c r="I23" s="13"/>
      <c r="J23" s="46"/>
      <c r="K23" s="63"/>
      <c r="L23" s="64"/>
      <c r="M23" s="47"/>
      <c r="N23" s="47"/>
      <c r="O23" s="47"/>
      <c r="P23" s="44"/>
      <c r="R23" s="49"/>
      <c r="S23" s="49"/>
      <c r="T23" s="49"/>
      <c r="U23" s="49"/>
    </row>
    <row r="24" spans="1:21" s="48" customFormat="1" ht="30" customHeight="1" x14ac:dyDescent="0.15">
      <c r="A24" s="45"/>
      <c r="B24" s="73"/>
      <c r="C24" s="74"/>
      <c r="D24" s="13"/>
      <c r="E24" s="15" t="s">
        <v>73</v>
      </c>
      <c r="F24" s="14" t="s">
        <v>95</v>
      </c>
      <c r="G24" s="14"/>
      <c r="H24" s="13" t="s">
        <v>101</v>
      </c>
      <c r="I24" s="13"/>
      <c r="J24" s="46"/>
      <c r="K24" s="63"/>
      <c r="L24" s="64"/>
      <c r="M24" s="47"/>
      <c r="N24" s="47"/>
      <c r="O24" s="47"/>
      <c r="P24" s="44"/>
      <c r="R24" s="49"/>
      <c r="S24" s="49"/>
      <c r="T24" s="49"/>
      <c r="U24" s="49"/>
    </row>
    <row r="25" spans="1:21" s="48" customFormat="1" ht="30" customHeight="1" x14ac:dyDescent="0.15">
      <c r="A25" s="45"/>
      <c r="B25" s="73"/>
      <c r="C25" s="74"/>
      <c r="D25" s="13"/>
      <c r="E25" s="15" t="s">
        <v>74</v>
      </c>
      <c r="F25" s="14" t="s">
        <v>96</v>
      </c>
      <c r="G25" s="14"/>
      <c r="H25" s="13" t="s">
        <v>102</v>
      </c>
      <c r="I25" s="13"/>
      <c r="J25" s="46"/>
      <c r="K25" s="63"/>
      <c r="L25" s="64"/>
      <c r="M25" s="47"/>
      <c r="N25" s="47"/>
      <c r="O25" s="47"/>
      <c r="P25" s="44"/>
      <c r="R25" s="49"/>
      <c r="S25" s="49"/>
      <c r="T25" s="49"/>
      <c r="U25" s="49"/>
    </row>
    <row r="26" spans="1:21" s="48" customFormat="1" ht="30" customHeight="1" x14ac:dyDescent="0.15">
      <c r="A26" s="45"/>
      <c r="B26" s="73"/>
      <c r="C26" s="74"/>
      <c r="D26" s="13"/>
      <c r="E26" s="15" t="s">
        <v>75</v>
      </c>
      <c r="F26" s="14" t="s">
        <v>97</v>
      </c>
      <c r="G26" s="14"/>
      <c r="H26" s="13" t="s">
        <v>103</v>
      </c>
      <c r="I26" s="13"/>
      <c r="J26" s="46"/>
      <c r="K26" s="63"/>
      <c r="L26" s="64"/>
      <c r="M26" s="47"/>
      <c r="N26" s="47"/>
      <c r="O26" s="47"/>
      <c r="P26" s="44"/>
      <c r="R26" s="49"/>
      <c r="S26" s="49"/>
      <c r="T26" s="49"/>
      <c r="U26" s="49"/>
    </row>
    <row r="27" spans="1:21" s="48" customFormat="1" ht="30" customHeight="1" x14ac:dyDescent="0.15">
      <c r="A27" s="45"/>
      <c r="B27" s="73"/>
      <c r="C27" s="74"/>
      <c r="D27" s="13"/>
      <c r="E27" s="15" t="s">
        <v>76</v>
      </c>
      <c r="F27" s="14" t="s">
        <v>98</v>
      </c>
      <c r="G27" s="14"/>
      <c r="H27" s="13" t="s">
        <v>104</v>
      </c>
      <c r="I27" s="13"/>
      <c r="J27" s="46"/>
      <c r="K27" s="63"/>
      <c r="L27" s="64"/>
      <c r="M27" s="47"/>
      <c r="N27" s="47"/>
      <c r="O27" s="47"/>
      <c r="P27" s="44"/>
      <c r="R27" s="49"/>
      <c r="S27" s="49"/>
      <c r="T27" s="49"/>
      <c r="U27" s="49"/>
    </row>
    <row r="28" spans="1:21" s="48" customFormat="1" ht="30" customHeight="1" x14ac:dyDescent="0.15">
      <c r="A28" s="45"/>
      <c r="B28" s="73"/>
      <c r="C28" s="74"/>
      <c r="D28" s="13"/>
      <c r="E28" s="15" t="s">
        <v>77</v>
      </c>
      <c r="F28" s="14" t="s">
        <v>99</v>
      </c>
      <c r="G28" s="14"/>
      <c r="H28" s="13" t="s">
        <v>105</v>
      </c>
      <c r="I28" s="13"/>
      <c r="J28" s="46"/>
      <c r="K28" s="63"/>
      <c r="L28" s="64"/>
      <c r="M28" s="47"/>
      <c r="N28" s="47"/>
      <c r="O28" s="47"/>
      <c r="P28" s="44"/>
      <c r="R28" s="49"/>
      <c r="S28" s="49"/>
      <c r="T28" s="49"/>
      <c r="U28" s="49"/>
    </row>
    <row r="29" spans="1:21" s="48" customFormat="1" ht="30" customHeight="1" x14ac:dyDescent="0.15">
      <c r="A29" s="45"/>
      <c r="B29" s="73"/>
      <c r="C29" s="74"/>
      <c r="D29" s="13"/>
      <c r="E29" s="15" t="s">
        <v>78</v>
      </c>
      <c r="F29" s="14" t="s">
        <v>125</v>
      </c>
      <c r="G29" s="14"/>
      <c r="H29" s="13" t="s">
        <v>106</v>
      </c>
      <c r="I29" s="13"/>
      <c r="J29" s="46"/>
      <c r="K29" s="63"/>
      <c r="L29" s="64"/>
      <c r="M29" s="47"/>
      <c r="N29" s="47"/>
      <c r="O29" s="47"/>
      <c r="P29" s="44"/>
      <c r="R29" s="49"/>
      <c r="S29" s="49"/>
      <c r="T29" s="49"/>
      <c r="U29" s="49"/>
    </row>
    <row r="30" spans="1:21" s="48" customFormat="1" ht="30" customHeight="1" x14ac:dyDescent="0.15">
      <c r="A30" s="45"/>
      <c r="B30" s="73"/>
      <c r="C30" s="74"/>
      <c r="D30" s="13" t="s">
        <v>107</v>
      </c>
      <c r="E30" s="15" t="s">
        <v>79</v>
      </c>
      <c r="F30" s="14" t="s">
        <v>108</v>
      </c>
      <c r="G30" s="14"/>
      <c r="H30" s="14" t="s">
        <v>61</v>
      </c>
      <c r="I30" s="13"/>
      <c r="J30" s="46"/>
      <c r="K30" s="63"/>
      <c r="L30" s="64"/>
      <c r="M30" s="47"/>
      <c r="N30" s="47"/>
      <c r="O30" s="47"/>
      <c r="P30" s="44"/>
      <c r="R30" s="49"/>
      <c r="S30" s="49"/>
      <c r="T30" s="49"/>
      <c r="U30" s="49"/>
    </row>
    <row r="31" spans="1:21" s="48" customFormat="1" ht="36" x14ac:dyDescent="0.15">
      <c r="A31" s="45"/>
      <c r="B31" s="73"/>
      <c r="C31" s="74"/>
      <c r="D31" s="13"/>
      <c r="E31" s="15" t="s">
        <v>80</v>
      </c>
      <c r="F31" s="14" t="s">
        <v>110</v>
      </c>
      <c r="G31" s="14"/>
      <c r="H31" s="14" t="s">
        <v>109</v>
      </c>
      <c r="I31" s="13"/>
      <c r="J31" s="46"/>
      <c r="K31" s="63"/>
      <c r="L31" s="64"/>
      <c r="M31" s="47"/>
      <c r="N31" s="47"/>
      <c r="O31" s="47"/>
      <c r="P31" s="44"/>
      <c r="R31" s="49"/>
      <c r="S31" s="49"/>
      <c r="T31" s="49"/>
      <c r="U31" s="49"/>
    </row>
    <row r="32" spans="1:21" s="48" customFormat="1" ht="36" x14ac:dyDescent="0.15">
      <c r="A32" s="45"/>
      <c r="B32" s="73"/>
      <c r="C32" s="74"/>
      <c r="D32" s="13"/>
      <c r="E32" s="15" t="s">
        <v>187</v>
      </c>
      <c r="F32" s="14" t="s">
        <v>111</v>
      </c>
      <c r="G32" s="14"/>
      <c r="H32" s="14" t="s">
        <v>112</v>
      </c>
      <c r="I32" s="13"/>
      <c r="J32" s="46"/>
      <c r="K32" s="63"/>
      <c r="L32" s="64"/>
      <c r="M32" s="47"/>
      <c r="N32" s="47"/>
      <c r="O32" s="47"/>
      <c r="P32" s="44"/>
      <c r="R32" s="49"/>
      <c r="S32" s="49"/>
      <c r="T32" s="49"/>
      <c r="U32" s="49"/>
    </row>
    <row r="33" spans="1:21" s="48" customFormat="1" ht="30" customHeight="1" x14ac:dyDescent="0.15">
      <c r="A33" s="45"/>
      <c r="B33" s="73"/>
      <c r="C33" s="74"/>
      <c r="D33" s="13"/>
      <c r="E33" s="15" t="s">
        <v>188</v>
      </c>
      <c r="F33" s="14" t="s">
        <v>63</v>
      </c>
      <c r="G33" s="14"/>
      <c r="H33" s="13" t="s">
        <v>62</v>
      </c>
      <c r="I33" s="13"/>
      <c r="J33" s="46"/>
      <c r="K33" s="63"/>
      <c r="L33" s="64"/>
      <c r="M33" s="47"/>
      <c r="N33" s="47"/>
      <c r="O33" s="47"/>
      <c r="P33" s="44"/>
      <c r="R33" s="49"/>
      <c r="S33" s="49"/>
      <c r="T33" s="49"/>
      <c r="U33" s="49"/>
    </row>
    <row r="34" spans="1:21" s="48" customFormat="1" ht="24" x14ac:dyDescent="0.15">
      <c r="A34" s="45"/>
      <c r="B34" s="73"/>
      <c r="C34" s="74"/>
      <c r="D34" s="13"/>
      <c r="E34" s="15" t="s">
        <v>189</v>
      </c>
      <c r="F34" s="14" t="s">
        <v>113</v>
      </c>
      <c r="G34" s="14"/>
      <c r="H34" s="13" t="s">
        <v>114</v>
      </c>
      <c r="I34" s="13"/>
      <c r="J34" s="46"/>
      <c r="K34" s="63"/>
      <c r="L34" s="64"/>
      <c r="M34" s="47"/>
      <c r="N34" s="47"/>
      <c r="O34" s="47"/>
      <c r="P34" s="44"/>
      <c r="R34" s="49"/>
      <c r="S34" s="49"/>
      <c r="T34" s="49"/>
      <c r="U34" s="49"/>
    </row>
    <row r="35" spans="1:21" s="48" customFormat="1" ht="36" x14ac:dyDescent="0.15">
      <c r="A35" s="45"/>
      <c r="B35" s="73"/>
      <c r="C35" s="74"/>
      <c r="D35" s="13"/>
      <c r="E35" s="15" t="s">
        <v>190</v>
      </c>
      <c r="F35" s="14" t="s">
        <v>116</v>
      </c>
      <c r="G35" s="14"/>
      <c r="H35" s="13" t="s">
        <v>117</v>
      </c>
      <c r="I35" s="13"/>
      <c r="J35" s="46"/>
      <c r="K35" s="63"/>
      <c r="L35" s="64"/>
      <c r="M35" s="47"/>
      <c r="N35" s="47"/>
      <c r="O35" s="47"/>
      <c r="P35" s="44"/>
      <c r="R35" s="49"/>
      <c r="S35" s="49"/>
      <c r="T35" s="49"/>
      <c r="U35" s="49"/>
    </row>
    <row r="36" spans="1:21" s="48" customFormat="1" ht="36" x14ac:dyDescent="0.15">
      <c r="A36" s="45"/>
      <c r="B36" s="73"/>
      <c r="C36" s="74"/>
      <c r="D36" s="13"/>
      <c r="E36" s="15" t="s">
        <v>191</v>
      </c>
      <c r="F36" s="14" t="s">
        <v>118</v>
      </c>
      <c r="G36" s="14"/>
      <c r="H36" s="13" t="s">
        <v>119</v>
      </c>
      <c r="I36" s="13"/>
      <c r="J36" s="46"/>
      <c r="K36" s="63"/>
      <c r="L36" s="64"/>
      <c r="M36" s="47"/>
      <c r="N36" s="47"/>
      <c r="O36" s="47"/>
      <c r="P36" s="44"/>
      <c r="R36" s="49"/>
      <c r="S36" s="49"/>
      <c r="T36" s="49"/>
      <c r="U36" s="49"/>
    </row>
  </sheetData>
  <mergeCells count="74">
    <mergeCell ref="B9:C9"/>
    <mergeCell ref="K9:L9"/>
    <mergeCell ref="B10:C10"/>
    <mergeCell ref="K10:L10"/>
    <mergeCell ref="B6:C6"/>
    <mergeCell ref="K6:L6"/>
    <mergeCell ref="B7:C7"/>
    <mergeCell ref="K7:L7"/>
    <mergeCell ref="B8:C8"/>
    <mergeCell ref="K8:L8"/>
    <mergeCell ref="B1:E1"/>
    <mergeCell ref="F1:G1"/>
    <mergeCell ref="H1:P1"/>
    <mergeCell ref="A2:A3"/>
    <mergeCell ref="B2:E3"/>
    <mergeCell ref="F2:G3"/>
    <mergeCell ref="A4:D4"/>
    <mergeCell ref="E4:I4"/>
    <mergeCell ref="J4:L4"/>
    <mergeCell ref="M4:P4"/>
    <mergeCell ref="B5:C5"/>
    <mergeCell ref="K5:L5"/>
    <mergeCell ref="B11:C11"/>
    <mergeCell ref="K11:L11"/>
    <mergeCell ref="B12:C12"/>
    <mergeCell ref="K12:L12"/>
    <mergeCell ref="B13:C13"/>
    <mergeCell ref="K13:L13"/>
    <mergeCell ref="B14:C14"/>
    <mergeCell ref="K14:L14"/>
    <mergeCell ref="B15:C15"/>
    <mergeCell ref="K15:L15"/>
    <mergeCell ref="B16:C16"/>
    <mergeCell ref="K16:L16"/>
    <mergeCell ref="B17:C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K22:L22"/>
    <mergeCell ref="B23:C23"/>
    <mergeCell ref="K23:L23"/>
    <mergeCell ref="B24:C24"/>
    <mergeCell ref="K24:L24"/>
    <mergeCell ref="B25:C25"/>
    <mergeCell ref="K25:L25"/>
    <mergeCell ref="B26:C26"/>
    <mergeCell ref="K26:L26"/>
    <mergeCell ref="B27:C27"/>
    <mergeCell ref="K27:L27"/>
    <mergeCell ref="B28:C28"/>
    <mergeCell ref="K28:L28"/>
    <mergeCell ref="B29:C29"/>
    <mergeCell ref="K29:L29"/>
    <mergeCell ref="B30:C30"/>
    <mergeCell ref="K30:L30"/>
    <mergeCell ref="B31:C31"/>
    <mergeCell ref="K31:L31"/>
    <mergeCell ref="B35:C35"/>
    <mergeCell ref="K35:L35"/>
    <mergeCell ref="B36:C36"/>
    <mergeCell ref="K36:L36"/>
    <mergeCell ref="B32:C32"/>
    <mergeCell ref="K32:L32"/>
    <mergeCell ref="B33:C33"/>
    <mergeCell ref="K33:L33"/>
    <mergeCell ref="B34:C34"/>
    <mergeCell ref="K34:L34"/>
  </mergeCells>
  <phoneticPr fontId="6" type="noConversion"/>
  <conditionalFormatting sqref="AB17:AB19 AB1:AB5 AB21:AB405 AB11:AB15">
    <cfRule type="expression" dxfId="83" priority="26">
      <formula>$AB1&gt;$AA1</formula>
    </cfRule>
  </conditionalFormatting>
  <conditionalFormatting sqref="AI17:AI19 AI1:AI5 AI21:AI405 AI11:AI15">
    <cfRule type="expression" dxfId="82" priority="25">
      <formula>$AI1&gt;$AH1</formula>
    </cfRule>
  </conditionalFormatting>
  <conditionalFormatting sqref="AD37:AG405 W37:Z405 R37:U405 AD17:AG19 W17:Z19 R17:U19 AD1:AG5 W1:Z5 R1:U5 R11:U15 W11:Z15 AD11:AG15">
    <cfRule type="expression" dxfId="81" priority="24">
      <formula>OR(WEEKDAY(R1)=1, WEEKDAY(R1)=7)</formula>
    </cfRule>
  </conditionalFormatting>
  <conditionalFormatting sqref="N37:N405 K37:K405 J21:J36">
    <cfRule type="expression" dxfId="80" priority="23">
      <formula>OR($K21="추가", $K21="변경", $K21="삭제")</formula>
    </cfRule>
  </conditionalFormatting>
  <conditionalFormatting sqref="J2">
    <cfRule type="expression" dxfId="79" priority="22">
      <formula>OR(#REF!="추가", #REF!="변경", #REF!="삭제")</formula>
    </cfRule>
  </conditionalFormatting>
  <conditionalFormatting sqref="J11">
    <cfRule type="expression" dxfId="78" priority="20">
      <formula>OR($K11="추가", $K11="변경", $K11="삭제")</formula>
    </cfRule>
  </conditionalFormatting>
  <conditionalFormatting sqref="J4">
    <cfRule type="expression" dxfId="77" priority="21">
      <formula>OR($K4="추가", $K4="변경", $K4="삭제")</formula>
    </cfRule>
  </conditionalFormatting>
  <conditionalFormatting sqref="J12">
    <cfRule type="expression" dxfId="76" priority="19">
      <formula>OR($K12="추가", $K12="변경", $K12="삭제")</formula>
    </cfRule>
  </conditionalFormatting>
  <conditionalFormatting sqref="M4">
    <cfRule type="expression" dxfId="75" priority="18">
      <formula>OR($K4="추가", $K4="변경", $K4="삭제")</formula>
    </cfRule>
  </conditionalFormatting>
  <conditionalFormatting sqref="O2:O3 P2">
    <cfRule type="expression" dxfId="74" priority="27">
      <formula>OR(#REF!="추가", #REF!="변경", #REF!="삭제")</formula>
    </cfRule>
  </conditionalFormatting>
  <conditionalFormatting sqref="AB16">
    <cfRule type="expression" dxfId="73" priority="17">
      <formula>$AB16&gt;$AA16</formula>
    </cfRule>
  </conditionalFormatting>
  <conditionalFormatting sqref="AI16">
    <cfRule type="expression" dxfId="72" priority="16">
      <formula>$AI16&gt;$AH16</formula>
    </cfRule>
  </conditionalFormatting>
  <conditionalFormatting sqref="R16:U16 W16:Z16 AD16:AG16">
    <cfRule type="expression" dxfId="71" priority="15">
      <formula>OR(WEEKDAY(R16)=1, WEEKDAY(R16)=7)</formula>
    </cfRule>
  </conditionalFormatting>
  <conditionalFormatting sqref="AB20">
    <cfRule type="expression" dxfId="70" priority="14">
      <formula>$AB20&gt;$AA20</formula>
    </cfRule>
  </conditionalFormatting>
  <conditionalFormatting sqref="AI20">
    <cfRule type="expression" dxfId="69" priority="13">
      <formula>$AI20&gt;$AH20</formula>
    </cfRule>
  </conditionalFormatting>
  <conditionalFormatting sqref="R20:U20 W20:Z20 AD20:AG20">
    <cfRule type="expression" dxfId="68" priority="12">
      <formula>OR(WEEKDAY(R20)=1, WEEKDAY(R20)=7)</formula>
    </cfRule>
  </conditionalFormatting>
  <conditionalFormatting sqref="AD14:AG14 W14:Z14 R14:U14">
    <cfRule type="expression" dxfId="67" priority="11">
      <formula>OR(WEEKDAY(R14)=1, WEEKDAY(R14)=7)</formula>
    </cfRule>
  </conditionalFormatting>
  <conditionalFormatting sqref="J13:J20">
    <cfRule type="expression" dxfId="66" priority="10">
      <formula>OR($K13="추가", $K13="변경", $K13="삭제")</formula>
    </cfRule>
  </conditionalFormatting>
  <conditionalFormatting sqref="P3">
    <cfRule type="expression" dxfId="65" priority="9">
      <formula>OR($J3="추가", $J3="변경", $J3="삭제")</formula>
    </cfRule>
  </conditionalFormatting>
  <conditionalFormatting sqref="J5 M5:N5">
    <cfRule type="expression" dxfId="64" priority="28">
      <formula>OR(#REF!="추가", #REF!="변경", #REF!="삭제")</formula>
    </cfRule>
  </conditionalFormatting>
  <conditionalFormatting sqref="R21:U36 W21:Z36 AD21:AG36">
    <cfRule type="expression" dxfId="63" priority="8">
      <formula>OR(WEEKDAY(R21)=1, WEEKDAY(R21)=7)</formula>
    </cfRule>
  </conditionalFormatting>
  <conditionalFormatting sqref="AB6:AB10">
    <cfRule type="expression" dxfId="62" priority="7">
      <formula>$AB6&gt;$AA6</formula>
    </cfRule>
  </conditionalFormatting>
  <conditionalFormatting sqref="AI6:AI10">
    <cfRule type="expression" dxfId="61" priority="6">
      <formula>$AI6&gt;$AH6</formula>
    </cfRule>
  </conditionalFormatting>
  <conditionalFormatting sqref="AD6:AG10 W6:Z10 R6:U10">
    <cfRule type="expression" dxfId="60" priority="5">
      <formula>OR(WEEKDAY(R6)=1, WEEKDAY(R6)=7)</formula>
    </cfRule>
  </conditionalFormatting>
  <conditionalFormatting sqref="AD9:AG9 W9:Z9 R9:U9">
    <cfRule type="expression" dxfId="59" priority="4">
      <formula>OR(WEEKDAY(R9)=1, WEEKDAY(R9)=7)</formula>
    </cfRule>
  </conditionalFormatting>
  <conditionalFormatting sqref="J6">
    <cfRule type="expression" dxfId="58" priority="3">
      <formula>OR($K6="추가", $K6="변경", $K6="삭제")</formula>
    </cfRule>
  </conditionalFormatting>
  <conditionalFormatting sqref="J7">
    <cfRule type="expression" dxfId="57" priority="2">
      <formula>OR($K7="추가", $K7="변경", $K7="삭제")</formula>
    </cfRule>
  </conditionalFormatting>
  <conditionalFormatting sqref="J8:J10">
    <cfRule type="expression" dxfId="56" priority="1">
      <formula>OR($K8="추가", $K8="변경", $K8="삭제")</formula>
    </cfRule>
  </conditionalFormatting>
  <dataValidations count="1">
    <dataValidation type="list" showInputMessage="1" showErrorMessage="1" sqref="P3 J6:J36">
      <formula1>"-,P,F,N/A"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Header>&amp;L디지털무역기반구축사업(시스템 개발 3단계)&amp;RD0201_G01_통합테스트시나리오_&amp;A</oddHeader>
    <oddFooter>&amp;L&amp;G&amp;C&amp;P&amp;R&amp;G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6"/>
  <sheetViews>
    <sheetView showGridLines="0" zoomScale="90" zoomScaleNormal="90" zoomScalePageLayoutView="55" workbookViewId="0">
      <pane ySplit="5" topLeftCell="A6" activePane="bottomLeft" state="frozen"/>
      <selection pane="bottomLeft" activeCell="B6" sqref="B6:C6"/>
    </sheetView>
  </sheetViews>
  <sheetFormatPr defaultColWidth="8.21875" defaultRowHeight="12" x14ac:dyDescent="0.15"/>
  <cols>
    <col min="1" max="1" width="13" style="6" customWidth="1"/>
    <col min="2" max="2" width="15.5546875" style="7" bestFit="1" customWidth="1"/>
    <col min="3" max="3" width="13.5546875" style="7" customWidth="1"/>
    <col min="4" max="4" width="14.21875" style="7" customWidth="1"/>
    <col min="5" max="5" width="3.109375" style="7" bestFit="1" customWidth="1"/>
    <col min="6" max="6" width="33.21875" style="7" customWidth="1"/>
    <col min="7" max="7" width="20.77734375" style="7" customWidth="1"/>
    <col min="8" max="8" width="34.44140625" style="7" customWidth="1"/>
    <col min="9" max="9" width="16.109375" style="9" customWidth="1"/>
    <col min="10" max="10" width="10.6640625" style="1" customWidth="1"/>
    <col min="11" max="11" width="10.6640625" style="7" customWidth="1"/>
    <col min="12" max="12" width="10.6640625" style="8" customWidth="1"/>
    <col min="13" max="14" width="10.6640625" style="7" customWidth="1"/>
    <col min="15" max="16" width="10.6640625" style="8" customWidth="1"/>
    <col min="17" max="17" width="6.21875" style="7" customWidth="1"/>
    <col min="18" max="21" width="14" style="8" bestFit="1" customWidth="1"/>
    <col min="22" max="22" width="6.21875" style="7" bestFit="1" customWidth="1"/>
    <col min="23" max="26" width="13" style="7" bestFit="1" customWidth="1"/>
    <col min="27" max="29" width="6.21875" style="7" bestFit="1" customWidth="1"/>
    <col min="30" max="33" width="13" style="7" bestFit="1" customWidth="1"/>
    <col min="34" max="35" width="6.21875" style="7" bestFit="1" customWidth="1"/>
    <col min="36" max="36" width="22.109375" style="7" customWidth="1"/>
    <col min="37" max="16384" width="8.21875" style="6"/>
  </cols>
  <sheetData>
    <row r="1" spans="1:21" s="7" customFormat="1" ht="39.950000000000003" customHeight="1" x14ac:dyDescent="0.15">
      <c r="A1" s="43" t="s">
        <v>0</v>
      </c>
      <c r="B1" s="68" t="s">
        <v>126</v>
      </c>
      <c r="C1" s="69"/>
      <c r="D1" s="69"/>
      <c r="E1" s="70"/>
      <c r="F1" s="65" t="s">
        <v>12</v>
      </c>
      <c r="G1" s="66"/>
      <c r="H1" s="67" t="s">
        <v>128</v>
      </c>
      <c r="I1" s="67"/>
      <c r="J1" s="67"/>
      <c r="K1" s="67"/>
      <c r="L1" s="67"/>
      <c r="M1" s="67"/>
      <c r="N1" s="67"/>
      <c r="O1" s="67"/>
      <c r="P1" s="67"/>
      <c r="R1" s="8"/>
      <c r="S1" s="8"/>
      <c r="T1" s="8"/>
      <c r="U1" s="8"/>
    </row>
    <row r="2" spans="1:21" s="7" customFormat="1" ht="17.25" customHeight="1" x14ac:dyDescent="0.15">
      <c r="A2" s="83" t="s">
        <v>36</v>
      </c>
      <c r="B2" s="85" t="s">
        <v>127</v>
      </c>
      <c r="C2" s="86"/>
      <c r="D2" s="86"/>
      <c r="E2" s="86"/>
      <c r="F2" s="83" t="s">
        <v>11</v>
      </c>
      <c r="G2" s="89"/>
      <c r="H2" s="23" t="s">
        <v>13</v>
      </c>
      <c r="I2" s="23" t="s">
        <v>10</v>
      </c>
      <c r="J2" s="25" t="s">
        <v>1</v>
      </c>
      <c r="K2" s="25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3" t="s">
        <v>8</v>
      </c>
      <c r="R2" s="8"/>
      <c r="S2" s="8"/>
      <c r="T2" s="8"/>
      <c r="U2" s="8"/>
    </row>
    <row r="3" spans="1:21" s="7" customFormat="1" ht="38.25" customHeight="1" x14ac:dyDescent="0.15">
      <c r="A3" s="84"/>
      <c r="B3" s="87"/>
      <c r="C3" s="88"/>
      <c r="D3" s="88"/>
      <c r="E3" s="88"/>
      <c r="F3" s="84"/>
      <c r="G3" s="90"/>
      <c r="H3" s="23" t="s">
        <v>54</v>
      </c>
      <c r="I3" s="22">
        <v>44790</v>
      </c>
      <c r="J3" s="21">
        <f>COUNTA($F$6:$F$205)</f>
        <v>31</v>
      </c>
      <c r="K3" s="11">
        <f>COUNTIF($J$6:$J$205,"P")</f>
        <v>0</v>
      </c>
      <c r="L3" s="11">
        <f>COUNTIF($J$6:$J$205,"F")</f>
        <v>0</v>
      </c>
      <c r="M3" s="11">
        <f>COUNTIF($J$6:$J$205,"N/A")</f>
        <v>0</v>
      </c>
      <c r="N3" s="21">
        <f>COUNTA($O$6:$O$205)</f>
        <v>0</v>
      </c>
      <c r="O3" s="2" t="str">
        <f>IFERROR(N3/L3,"-")</f>
        <v>-</v>
      </c>
      <c r="P3" s="24" t="s">
        <v>50</v>
      </c>
      <c r="R3" s="8"/>
      <c r="S3" s="8"/>
      <c r="T3" s="8"/>
      <c r="U3" s="8"/>
    </row>
    <row r="4" spans="1:21" s="7" customFormat="1" ht="22.5" customHeight="1" x14ac:dyDescent="0.15">
      <c r="A4" s="75" t="s">
        <v>9</v>
      </c>
      <c r="B4" s="76"/>
      <c r="C4" s="76"/>
      <c r="D4" s="77"/>
      <c r="E4" s="78" t="s">
        <v>25</v>
      </c>
      <c r="F4" s="79"/>
      <c r="G4" s="79"/>
      <c r="H4" s="79"/>
      <c r="I4" s="79"/>
      <c r="J4" s="80" t="s">
        <v>8</v>
      </c>
      <c r="K4" s="81"/>
      <c r="L4" s="82"/>
      <c r="M4" s="81" t="s">
        <v>51</v>
      </c>
      <c r="N4" s="81"/>
      <c r="O4" s="81"/>
      <c r="P4" s="81"/>
      <c r="R4" s="8"/>
      <c r="S4" s="8"/>
      <c r="T4" s="8"/>
      <c r="U4" s="8"/>
    </row>
    <row r="5" spans="1:21" s="7" customFormat="1" ht="22.5" customHeight="1" x14ac:dyDescent="0.15">
      <c r="A5" s="20" t="s">
        <v>14</v>
      </c>
      <c r="B5" s="71" t="s">
        <v>15</v>
      </c>
      <c r="C5" s="72"/>
      <c r="D5" s="19" t="s">
        <v>16</v>
      </c>
      <c r="E5" s="20" t="s">
        <v>17</v>
      </c>
      <c r="F5" s="4" t="s">
        <v>18</v>
      </c>
      <c r="G5" s="4" t="s">
        <v>26</v>
      </c>
      <c r="H5" s="4" t="s">
        <v>19</v>
      </c>
      <c r="I5" s="19" t="s">
        <v>20</v>
      </c>
      <c r="J5" s="18" t="s">
        <v>53</v>
      </c>
      <c r="K5" s="93" t="s">
        <v>55</v>
      </c>
      <c r="L5" s="66"/>
      <c r="M5" s="18" t="s">
        <v>21</v>
      </c>
      <c r="N5" s="17" t="s">
        <v>22</v>
      </c>
      <c r="O5" s="17" t="s">
        <v>23</v>
      </c>
      <c r="P5" s="16" t="s">
        <v>24</v>
      </c>
      <c r="R5" s="8"/>
      <c r="S5" s="8"/>
      <c r="T5" s="8"/>
      <c r="U5" s="8"/>
    </row>
    <row r="6" spans="1:21" s="7" customFormat="1" ht="24" x14ac:dyDescent="0.15">
      <c r="A6" s="5" t="s">
        <v>192</v>
      </c>
      <c r="B6" s="73" t="s">
        <v>211</v>
      </c>
      <c r="C6" s="74"/>
      <c r="D6" s="13" t="s">
        <v>212</v>
      </c>
      <c r="E6" s="15" t="s">
        <v>27</v>
      </c>
      <c r="F6" s="14" t="s">
        <v>195</v>
      </c>
      <c r="G6" s="14"/>
      <c r="H6" s="14" t="s">
        <v>213</v>
      </c>
      <c r="I6" s="13" t="s">
        <v>214</v>
      </c>
      <c r="J6" s="12"/>
      <c r="K6" s="91"/>
      <c r="L6" s="92"/>
      <c r="M6" s="11"/>
      <c r="N6" s="11"/>
      <c r="O6" s="11"/>
      <c r="P6" s="10"/>
      <c r="R6" s="8"/>
      <c r="S6" s="8"/>
      <c r="T6" s="8"/>
      <c r="U6" s="8"/>
    </row>
    <row r="7" spans="1:21" s="48" customFormat="1" ht="192" x14ac:dyDescent="0.15">
      <c r="A7" s="45"/>
      <c r="B7" s="73"/>
      <c r="C7" s="74"/>
      <c r="D7" s="13" t="s">
        <v>215</v>
      </c>
      <c r="E7" s="15" t="s">
        <v>7</v>
      </c>
      <c r="F7" s="14" t="s">
        <v>199</v>
      </c>
      <c r="G7" s="14" t="s">
        <v>216</v>
      </c>
      <c r="H7" s="14"/>
      <c r="I7" s="13" t="s">
        <v>217</v>
      </c>
      <c r="J7" s="46"/>
      <c r="K7" s="63"/>
      <c r="L7" s="64"/>
      <c r="M7" s="47"/>
      <c r="N7" s="47"/>
      <c r="O7" s="47"/>
      <c r="P7" s="50"/>
      <c r="R7" s="49"/>
      <c r="S7" s="49"/>
      <c r="T7" s="49"/>
      <c r="U7" s="49"/>
    </row>
    <row r="8" spans="1:21" s="48" customFormat="1" ht="60" x14ac:dyDescent="0.15">
      <c r="A8" s="45"/>
      <c r="B8" s="73"/>
      <c r="C8" s="74"/>
      <c r="D8" s="13" t="s">
        <v>218</v>
      </c>
      <c r="E8" s="15" t="s">
        <v>38</v>
      </c>
      <c r="F8" s="14" t="s">
        <v>203</v>
      </c>
      <c r="G8" s="14" t="s">
        <v>219</v>
      </c>
      <c r="H8" s="14"/>
      <c r="I8" s="13" t="s">
        <v>220</v>
      </c>
      <c r="J8" s="46"/>
      <c r="K8" s="63"/>
      <c r="L8" s="64"/>
      <c r="M8" s="47"/>
      <c r="N8" s="47"/>
      <c r="O8" s="47"/>
      <c r="P8" s="50"/>
      <c r="R8" s="49"/>
      <c r="S8" s="49"/>
      <c r="T8" s="49"/>
      <c r="U8" s="49"/>
    </row>
    <row r="9" spans="1:21" s="48" customFormat="1" ht="36" x14ac:dyDescent="0.15">
      <c r="A9" s="45"/>
      <c r="B9" s="73"/>
      <c r="C9" s="74"/>
      <c r="D9" s="13" t="s">
        <v>221</v>
      </c>
      <c r="E9" s="15" t="s">
        <v>28</v>
      </c>
      <c r="F9" s="14" t="s">
        <v>207</v>
      </c>
      <c r="G9" s="14" t="s">
        <v>208</v>
      </c>
      <c r="H9" s="14"/>
      <c r="I9" s="13"/>
      <c r="J9" s="46"/>
      <c r="K9" s="63"/>
      <c r="L9" s="64"/>
      <c r="M9" s="47"/>
      <c r="N9" s="47"/>
      <c r="O9" s="47"/>
      <c r="P9" s="50"/>
      <c r="R9" s="49"/>
      <c r="S9" s="49"/>
      <c r="T9" s="49"/>
      <c r="U9" s="49"/>
    </row>
    <row r="10" spans="1:21" s="48" customFormat="1" ht="24" x14ac:dyDescent="0.15">
      <c r="A10" s="45"/>
      <c r="B10" s="73"/>
      <c r="C10" s="74"/>
      <c r="D10" s="13"/>
      <c r="E10" s="15" t="s">
        <v>29</v>
      </c>
      <c r="F10" s="14" t="s">
        <v>209</v>
      </c>
      <c r="G10" s="14"/>
      <c r="H10" s="14" t="s">
        <v>222</v>
      </c>
      <c r="I10" s="13"/>
      <c r="J10" s="46"/>
      <c r="K10" s="63"/>
      <c r="L10" s="64"/>
      <c r="M10" s="47"/>
      <c r="N10" s="47"/>
      <c r="O10" s="47"/>
      <c r="P10" s="50"/>
      <c r="R10" s="49"/>
      <c r="S10" s="49"/>
      <c r="T10" s="49"/>
      <c r="U10" s="49"/>
    </row>
    <row r="11" spans="1:21" s="7" customFormat="1" ht="36" customHeight="1" x14ac:dyDescent="0.15">
      <c r="A11" s="5" t="s">
        <v>37</v>
      </c>
      <c r="B11" s="73" t="s">
        <v>56</v>
      </c>
      <c r="C11" s="74"/>
      <c r="D11" s="13" t="s">
        <v>57</v>
      </c>
      <c r="E11" s="15" t="s">
        <v>30</v>
      </c>
      <c r="F11" s="14" t="s">
        <v>82</v>
      </c>
      <c r="G11" s="14"/>
      <c r="H11" s="14" t="s">
        <v>61</v>
      </c>
      <c r="I11" s="13" t="s">
        <v>52</v>
      </c>
      <c r="J11" s="12"/>
      <c r="K11" s="91"/>
      <c r="L11" s="92"/>
      <c r="M11" s="11"/>
      <c r="N11" s="11"/>
      <c r="O11" s="11"/>
      <c r="P11" s="10"/>
      <c r="R11" s="8"/>
      <c r="S11" s="8"/>
      <c r="T11" s="8"/>
      <c r="U11" s="8"/>
    </row>
    <row r="12" spans="1:21" s="48" customFormat="1" ht="30" customHeight="1" x14ac:dyDescent="0.15">
      <c r="A12" s="45"/>
      <c r="B12" s="73"/>
      <c r="C12" s="74"/>
      <c r="D12" s="13"/>
      <c r="E12" s="15" t="s">
        <v>31</v>
      </c>
      <c r="F12" s="14" t="s">
        <v>85</v>
      </c>
      <c r="G12" s="14"/>
      <c r="H12" s="14" t="s">
        <v>61</v>
      </c>
      <c r="I12" s="13"/>
      <c r="J12" s="46"/>
      <c r="K12" s="63"/>
      <c r="L12" s="64"/>
      <c r="M12" s="47"/>
      <c r="N12" s="47"/>
      <c r="O12" s="47"/>
      <c r="P12" s="44"/>
      <c r="R12" s="49"/>
      <c r="S12" s="49"/>
      <c r="T12" s="49"/>
      <c r="U12" s="49"/>
    </row>
    <row r="13" spans="1:21" s="48" customFormat="1" ht="30" customHeight="1" x14ac:dyDescent="0.15">
      <c r="A13" s="45"/>
      <c r="B13" s="73"/>
      <c r="C13" s="74"/>
      <c r="D13" s="13"/>
      <c r="E13" s="15" t="s">
        <v>32</v>
      </c>
      <c r="F13" s="14" t="s">
        <v>86</v>
      </c>
      <c r="G13" s="14"/>
      <c r="H13" s="14" t="s">
        <v>61</v>
      </c>
      <c r="I13" s="13"/>
      <c r="J13" s="46"/>
      <c r="K13" s="63"/>
      <c r="L13" s="64"/>
      <c r="M13" s="47"/>
      <c r="N13" s="47"/>
      <c r="O13" s="47"/>
      <c r="P13" s="44"/>
      <c r="R13" s="49"/>
      <c r="S13" s="49"/>
      <c r="T13" s="49"/>
      <c r="U13" s="49"/>
    </row>
    <row r="14" spans="1:21" s="48" customFormat="1" ht="30" customHeight="1" x14ac:dyDescent="0.15">
      <c r="A14" s="45"/>
      <c r="B14" s="73"/>
      <c r="C14" s="74"/>
      <c r="D14" s="13"/>
      <c r="E14" s="15" t="s">
        <v>33</v>
      </c>
      <c r="F14" s="14" t="s">
        <v>87</v>
      </c>
      <c r="G14" s="14"/>
      <c r="H14" s="14" t="s">
        <v>61</v>
      </c>
      <c r="I14" s="13"/>
      <c r="J14" s="46"/>
      <c r="K14" s="63"/>
      <c r="L14" s="64"/>
      <c r="M14" s="47"/>
      <c r="N14" s="47"/>
      <c r="O14" s="47"/>
      <c r="P14" s="44"/>
      <c r="R14" s="49"/>
      <c r="S14" s="49"/>
      <c r="T14" s="49"/>
      <c r="U14" s="49"/>
    </row>
    <row r="15" spans="1:21" s="48" customFormat="1" ht="30" customHeight="1" x14ac:dyDescent="0.15">
      <c r="A15" s="45"/>
      <c r="B15" s="73"/>
      <c r="C15" s="74"/>
      <c r="D15" s="13"/>
      <c r="E15" s="15" t="s">
        <v>34</v>
      </c>
      <c r="F15" s="14" t="s">
        <v>83</v>
      </c>
      <c r="G15" s="14"/>
      <c r="H15" s="14" t="s">
        <v>61</v>
      </c>
      <c r="I15" s="13"/>
      <c r="J15" s="46"/>
      <c r="K15" s="63"/>
      <c r="L15" s="64"/>
      <c r="M15" s="47"/>
      <c r="N15" s="47"/>
      <c r="O15" s="47"/>
      <c r="P15" s="44"/>
      <c r="R15" s="49"/>
      <c r="S15" s="49"/>
      <c r="T15" s="49"/>
      <c r="U15" s="49"/>
    </row>
    <row r="16" spans="1:21" s="48" customFormat="1" ht="30" customHeight="1" x14ac:dyDescent="0.15">
      <c r="A16" s="45"/>
      <c r="B16" s="73"/>
      <c r="C16" s="74"/>
      <c r="D16" s="13"/>
      <c r="E16" s="15" t="s">
        <v>35</v>
      </c>
      <c r="F16" s="14" t="s">
        <v>63</v>
      </c>
      <c r="G16" s="14"/>
      <c r="H16" s="13" t="s">
        <v>62</v>
      </c>
      <c r="I16" s="13"/>
      <c r="J16" s="46"/>
      <c r="K16" s="63"/>
      <c r="L16" s="64"/>
      <c r="M16" s="47"/>
      <c r="N16" s="47"/>
      <c r="O16" s="47"/>
      <c r="P16" s="44"/>
      <c r="R16" s="49"/>
      <c r="S16" s="49"/>
      <c r="T16" s="49"/>
      <c r="U16" s="49"/>
    </row>
    <row r="17" spans="1:21" s="48" customFormat="1" ht="60" x14ac:dyDescent="0.15">
      <c r="A17" s="45"/>
      <c r="B17" s="73"/>
      <c r="C17" s="74"/>
      <c r="D17" s="13"/>
      <c r="E17" s="15" t="s">
        <v>66</v>
      </c>
      <c r="F17" s="14" t="s">
        <v>88</v>
      </c>
      <c r="G17" s="14"/>
      <c r="H17" s="13" t="s">
        <v>115</v>
      </c>
      <c r="I17" s="13"/>
      <c r="J17" s="46"/>
      <c r="K17" s="63"/>
      <c r="L17" s="64"/>
      <c r="M17" s="47"/>
      <c r="N17" s="47"/>
      <c r="O17" s="47"/>
      <c r="P17" s="44"/>
      <c r="R17" s="49"/>
      <c r="S17" s="49"/>
      <c r="T17" s="49"/>
      <c r="U17" s="49"/>
    </row>
    <row r="18" spans="1:21" s="48" customFormat="1" ht="30" customHeight="1" x14ac:dyDescent="0.15">
      <c r="A18" s="45"/>
      <c r="B18" s="73"/>
      <c r="C18" s="74"/>
      <c r="D18" s="13"/>
      <c r="E18" s="15" t="s">
        <v>67</v>
      </c>
      <c r="F18" s="14" t="s">
        <v>84</v>
      </c>
      <c r="G18" s="14"/>
      <c r="H18" s="13" t="s">
        <v>64</v>
      </c>
      <c r="I18" s="13"/>
      <c r="J18" s="46"/>
      <c r="K18" s="63"/>
      <c r="L18" s="64"/>
      <c r="M18" s="47"/>
      <c r="N18" s="47"/>
      <c r="O18" s="47"/>
      <c r="P18" s="44"/>
      <c r="R18" s="49"/>
      <c r="S18" s="49"/>
      <c r="T18" s="49"/>
      <c r="U18" s="49"/>
    </row>
    <row r="19" spans="1:21" s="48" customFormat="1" ht="30" customHeight="1" x14ac:dyDescent="0.15">
      <c r="A19" s="45"/>
      <c r="B19" s="73"/>
      <c r="C19" s="74"/>
      <c r="D19" s="13" t="s">
        <v>65</v>
      </c>
      <c r="E19" s="15" t="s">
        <v>68</v>
      </c>
      <c r="F19" s="14" t="s">
        <v>81</v>
      </c>
      <c r="G19" s="14"/>
      <c r="H19" s="14" t="s">
        <v>61</v>
      </c>
      <c r="I19" s="13"/>
      <c r="J19" s="46"/>
      <c r="K19" s="63"/>
      <c r="L19" s="64"/>
      <c r="M19" s="47"/>
      <c r="N19" s="47"/>
      <c r="O19" s="47"/>
      <c r="P19" s="44"/>
      <c r="R19" s="49"/>
      <c r="S19" s="49"/>
      <c r="T19" s="49"/>
      <c r="U19" s="49"/>
    </row>
    <row r="20" spans="1:21" s="48" customFormat="1" ht="24" x14ac:dyDescent="0.15">
      <c r="A20" s="45"/>
      <c r="B20" s="73"/>
      <c r="C20" s="74"/>
      <c r="D20" s="13"/>
      <c r="E20" s="15" t="s">
        <v>69</v>
      </c>
      <c r="F20" s="14" t="s">
        <v>89</v>
      </c>
      <c r="G20" s="14"/>
      <c r="H20" s="13" t="s">
        <v>91</v>
      </c>
      <c r="I20" s="13"/>
      <c r="J20" s="46"/>
      <c r="K20" s="63"/>
      <c r="L20" s="64"/>
      <c r="M20" s="47"/>
      <c r="N20" s="47"/>
      <c r="O20" s="47"/>
      <c r="P20" s="44"/>
      <c r="R20" s="49"/>
      <c r="S20" s="49"/>
      <c r="T20" s="49"/>
      <c r="U20" s="49"/>
    </row>
    <row r="21" spans="1:21" s="48" customFormat="1" ht="36" x14ac:dyDescent="0.15">
      <c r="A21" s="45"/>
      <c r="B21" s="73"/>
      <c r="C21" s="74"/>
      <c r="D21" s="13"/>
      <c r="E21" s="15" t="s">
        <v>70</v>
      </c>
      <c r="F21" s="14" t="s">
        <v>92</v>
      </c>
      <c r="G21" s="14"/>
      <c r="H21" s="14" t="s">
        <v>61</v>
      </c>
      <c r="I21" s="13"/>
      <c r="J21" s="46"/>
      <c r="K21" s="63"/>
      <c r="L21" s="64"/>
      <c r="M21" s="47"/>
      <c r="N21" s="47"/>
      <c r="O21" s="47"/>
      <c r="P21" s="44"/>
      <c r="R21" s="49"/>
      <c r="S21" s="49"/>
      <c r="T21" s="49"/>
      <c r="U21" s="49"/>
    </row>
    <row r="22" spans="1:21" s="48" customFormat="1" ht="30" customHeight="1" x14ac:dyDescent="0.15">
      <c r="A22" s="45"/>
      <c r="B22" s="73"/>
      <c r="C22" s="74"/>
      <c r="D22" s="13"/>
      <c r="E22" s="15" t="s">
        <v>71</v>
      </c>
      <c r="F22" s="14" t="s">
        <v>90</v>
      </c>
      <c r="G22" s="14"/>
      <c r="H22" s="13" t="s">
        <v>93</v>
      </c>
      <c r="I22" s="13"/>
      <c r="J22" s="46"/>
      <c r="K22" s="63"/>
      <c r="L22" s="64"/>
      <c r="M22" s="47"/>
      <c r="N22" s="47"/>
      <c r="O22" s="47"/>
      <c r="P22" s="44"/>
      <c r="R22" s="49"/>
      <c r="S22" s="49"/>
      <c r="T22" s="49"/>
      <c r="U22" s="49"/>
    </row>
    <row r="23" spans="1:21" s="48" customFormat="1" ht="96" x14ac:dyDescent="0.15">
      <c r="A23" s="45"/>
      <c r="B23" s="73"/>
      <c r="C23" s="74"/>
      <c r="D23" s="13"/>
      <c r="E23" s="15" t="s">
        <v>72</v>
      </c>
      <c r="F23" s="14" t="s">
        <v>94</v>
      </c>
      <c r="G23" s="14"/>
      <c r="H23" s="14" t="s">
        <v>61</v>
      </c>
      <c r="I23" s="13"/>
      <c r="J23" s="46"/>
      <c r="K23" s="63"/>
      <c r="L23" s="64"/>
      <c r="M23" s="47"/>
      <c r="N23" s="47"/>
      <c r="O23" s="47"/>
      <c r="P23" s="44"/>
      <c r="R23" s="49"/>
      <c r="S23" s="49"/>
      <c r="T23" s="49"/>
      <c r="U23" s="49"/>
    </row>
    <row r="24" spans="1:21" s="48" customFormat="1" ht="30" customHeight="1" x14ac:dyDescent="0.15">
      <c r="A24" s="45"/>
      <c r="B24" s="73"/>
      <c r="C24" s="74"/>
      <c r="D24" s="13"/>
      <c r="E24" s="15" t="s">
        <v>73</v>
      </c>
      <c r="F24" s="14" t="s">
        <v>95</v>
      </c>
      <c r="G24" s="14"/>
      <c r="H24" s="13" t="s">
        <v>101</v>
      </c>
      <c r="I24" s="13"/>
      <c r="J24" s="46"/>
      <c r="K24" s="63"/>
      <c r="L24" s="64"/>
      <c r="M24" s="47"/>
      <c r="N24" s="47"/>
      <c r="O24" s="47"/>
      <c r="P24" s="44"/>
      <c r="R24" s="49"/>
      <c r="S24" s="49"/>
      <c r="T24" s="49"/>
      <c r="U24" s="49"/>
    </row>
    <row r="25" spans="1:21" s="48" customFormat="1" ht="30" customHeight="1" x14ac:dyDescent="0.15">
      <c r="A25" s="45"/>
      <c r="B25" s="73"/>
      <c r="C25" s="74"/>
      <c r="D25" s="13"/>
      <c r="E25" s="15" t="s">
        <v>74</v>
      </c>
      <c r="F25" s="14" t="s">
        <v>96</v>
      </c>
      <c r="G25" s="14"/>
      <c r="H25" s="13" t="s">
        <v>102</v>
      </c>
      <c r="I25" s="13"/>
      <c r="J25" s="46"/>
      <c r="K25" s="63"/>
      <c r="L25" s="64"/>
      <c r="M25" s="47"/>
      <c r="N25" s="47"/>
      <c r="O25" s="47"/>
      <c r="P25" s="44"/>
      <c r="R25" s="49"/>
      <c r="S25" s="49"/>
      <c r="T25" s="49"/>
      <c r="U25" s="49"/>
    </row>
    <row r="26" spans="1:21" s="48" customFormat="1" ht="30" customHeight="1" x14ac:dyDescent="0.15">
      <c r="A26" s="45"/>
      <c r="B26" s="73"/>
      <c r="C26" s="74"/>
      <c r="D26" s="13"/>
      <c r="E26" s="15" t="s">
        <v>75</v>
      </c>
      <c r="F26" s="14" t="s">
        <v>97</v>
      </c>
      <c r="G26" s="14"/>
      <c r="H26" s="13" t="s">
        <v>103</v>
      </c>
      <c r="I26" s="13"/>
      <c r="J26" s="46"/>
      <c r="K26" s="63"/>
      <c r="L26" s="64"/>
      <c r="M26" s="47"/>
      <c r="N26" s="47"/>
      <c r="O26" s="47"/>
      <c r="P26" s="44"/>
      <c r="R26" s="49"/>
      <c r="S26" s="49"/>
      <c r="T26" s="49"/>
      <c r="U26" s="49"/>
    </row>
    <row r="27" spans="1:21" s="48" customFormat="1" ht="30" customHeight="1" x14ac:dyDescent="0.15">
      <c r="A27" s="45"/>
      <c r="B27" s="73"/>
      <c r="C27" s="74"/>
      <c r="D27" s="13"/>
      <c r="E27" s="15" t="s">
        <v>76</v>
      </c>
      <c r="F27" s="14" t="s">
        <v>98</v>
      </c>
      <c r="G27" s="14"/>
      <c r="H27" s="13" t="s">
        <v>104</v>
      </c>
      <c r="I27" s="13"/>
      <c r="J27" s="46"/>
      <c r="K27" s="63"/>
      <c r="L27" s="64"/>
      <c r="M27" s="47"/>
      <c r="N27" s="47"/>
      <c r="O27" s="47"/>
      <c r="P27" s="44"/>
      <c r="R27" s="49"/>
      <c r="S27" s="49"/>
      <c r="T27" s="49"/>
      <c r="U27" s="49"/>
    </row>
    <row r="28" spans="1:21" s="48" customFormat="1" ht="30" customHeight="1" x14ac:dyDescent="0.15">
      <c r="A28" s="45"/>
      <c r="B28" s="73"/>
      <c r="C28" s="74"/>
      <c r="D28" s="13"/>
      <c r="E28" s="15" t="s">
        <v>77</v>
      </c>
      <c r="F28" s="14" t="s">
        <v>99</v>
      </c>
      <c r="G28" s="14"/>
      <c r="H28" s="13" t="s">
        <v>105</v>
      </c>
      <c r="I28" s="13"/>
      <c r="J28" s="46"/>
      <c r="K28" s="63"/>
      <c r="L28" s="64"/>
      <c r="M28" s="47"/>
      <c r="N28" s="47"/>
      <c r="O28" s="47"/>
      <c r="P28" s="44"/>
      <c r="R28" s="49"/>
      <c r="S28" s="49"/>
      <c r="T28" s="49"/>
      <c r="U28" s="49"/>
    </row>
    <row r="29" spans="1:21" s="48" customFormat="1" ht="30" customHeight="1" x14ac:dyDescent="0.15">
      <c r="A29" s="45"/>
      <c r="B29" s="73"/>
      <c r="C29" s="74"/>
      <c r="D29" s="13"/>
      <c r="E29" s="15" t="s">
        <v>78</v>
      </c>
      <c r="F29" s="14" t="s">
        <v>100</v>
      </c>
      <c r="G29" s="14"/>
      <c r="H29" s="13" t="s">
        <v>106</v>
      </c>
      <c r="I29" s="13"/>
      <c r="J29" s="46"/>
      <c r="K29" s="63"/>
      <c r="L29" s="64"/>
      <c r="M29" s="47"/>
      <c r="N29" s="47"/>
      <c r="O29" s="47"/>
      <c r="P29" s="44"/>
      <c r="R29" s="49"/>
      <c r="S29" s="49"/>
      <c r="T29" s="49"/>
      <c r="U29" s="49"/>
    </row>
    <row r="30" spans="1:21" s="48" customFormat="1" ht="30" customHeight="1" x14ac:dyDescent="0.15">
      <c r="A30" s="45"/>
      <c r="B30" s="73"/>
      <c r="C30" s="74"/>
      <c r="D30" s="13" t="s">
        <v>107</v>
      </c>
      <c r="E30" s="15" t="s">
        <v>79</v>
      </c>
      <c r="F30" s="14" t="s">
        <v>108</v>
      </c>
      <c r="G30" s="14"/>
      <c r="H30" s="14" t="s">
        <v>61</v>
      </c>
      <c r="I30" s="13"/>
      <c r="J30" s="46"/>
      <c r="K30" s="63"/>
      <c r="L30" s="64"/>
      <c r="M30" s="47"/>
      <c r="N30" s="47"/>
      <c r="O30" s="47"/>
      <c r="P30" s="44"/>
      <c r="R30" s="49"/>
      <c r="S30" s="49"/>
      <c r="T30" s="49"/>
      <c r="U30" s="49"/>
    </row>
    <row r="31" spans="1:21" s="48" customFormat="1" ht="36" x14ac:dyDescent="0.15">
      <c r="A31" s="45"/>
      <c r="B31" s="73"/>
      <c r="C31" s="74"/>
      <c r="D31" s="13"/>
      <c r="E31" s="15" t="s">
        <v>80</v>
      </c>
      <c r="F31" s="14" t="s">
        <v>110</v>
      </c>
      <c r="G31" s="14"/>
      <c r="H31" s="14" t="s">
        <v>109</v>
      </c>
      <c r="I31" s="13"/>
      <c r="J31" s="46"/>
      <c r="K31" s="63"/>
      <c r="L31" s="64"/>
      <c r="M31" s="47"/>
      <c r="N31" s="47"/>
      <c r="O31" s="47"/>
      <c r="P31" s="44"/>
      <c r="R31" s="49"/>
      <c r="S31" s="49"/>
      <c r="T31" s="49"/>
      <c r="U31" s="49"/>
    </row>
    <row r="32" spans="1:21" s="48" customFormat="1" ht="36" x14ac:dyDescent="0.15">
      <c r="A32" s="45"/>
      <c r="B32" s="73"/>
      <c r="C32" s="74"/>
      <c r="D32" s="13"/>
      <c r="E32" s="15" t="s">
        <v>187</v>
      </c>
      <c r="F32" s="14" t="s">
        <v>111</v>
      </c>
      <c r="G32" s="14"/>
      <c r="H32" s="14" t="s">
        <v>112</v>
      </c>
      <c r="I32" s="13"/>
      <c r="J32" s="46"/>
      <c r="K32" s="63"/>
      <c r="L32" s="64"/>
      <c r="M32" s="47"/>
      <c r="N32" s="47"/>
      <c r="O32" s="47"/>
      <c r="P32" s="44"/>
      <c r="R32" s="49"/>
      <c r="S32" s="49"/>
      <c r="T32" s="49"/>
      <c r="U32" s="49"/>
    </row>
    <row r="33" spans="1:21" s="48" customFormat="1" ht="30" customHeight="1" x14ac:dyDescent="0.15">
      <c r="A33" s="45"/>
      <c r="B33" s="73"/>
      <c r="C33" s="74"/>
      <c r="D33" s="13"/>
      <c r="E33" s="15" t="s">
        <v>188</v>
      </c>
      <c r="F33" s="14" t="s">
        <v>63</v>
      </c>
      <c r="G33" s="14"/>
      <c r="H33" s="13" t="s">
        <v>62</v>
      </c>
      <c r="I33" s="13"/>
      <c r="J33" s="46"/>
      <c r="K33" s="63"/>
      <c r="L33" s="64"/>
      <c r="M33" s="47"/>
      <c r="N33" s="47"/>
      <c r="O33" s="47"/>
      <c r="P33" s="44"/>
      <c r="R33" s="49"/>
      <c r="S33" s="49"/>
      <c r="T33" s="49"/>
      <c r="U33" s="49"/>
    </row>
    <row r="34" spans="1:21" s="48" customFormat="1" ht="24" x14ac:dyDescent="0.15">
      <c r="A34" s="45"/>
      <c r="B34" s="73"/>
      <c r="C34" s="74"/>
      <c r="D34" s="13"/>
      <c r="E34" s="15" t="s">
        <v>189</v>
      </c>
      <c r="F34" s="14" t="s">
        <v>113</v>
      </c>
      <c r="G34" s="14"/>
      <c r="H34" s="13" t="s">
        <v>114</v>
      </c>
      <c r="I34" s="13"/>
      <c r="J34" s="46"/>
      <c r="K34" s="63"/>
      <c r="L34" s="64"/>
      <c r="M34" s="47"/>
      <c r="N34" s="47"/>
      <c r="O34" s="47"/>
      <c r="P34" s="44"/>
      <c r="R34" s="49"/>
      <c r="S34" s="49"/>
      <c r="T34" s="49"/>
      <c r="U34" s="49"/>
    </row>
    <row r="35" spans="1:21" s="48" customFormat="1" ht="36" x14ac:dyDescent="0.15">
      <c r="A35" s="45"/>
      <c r="B35" s="73"/>
      <c r="C35" s="74"/>
      <c r="D35" s="13"/>
      <c r="E35" s="15" t="s">
        <v>190</v>
      </c>
      <c r="F35" s="14" t="s">
        <v>116</v>
      </c>
      <c r="G35" s="14"/>
      <c r="H35" s="13" t="s">
        <v>117</v>
      </c>
      <c r="I35" s="13"/>
      <c r="J35" s="46"/>
      <c r="K35" s="63"/>
      <c r="L35" s="64"/>
      <c r="M35" s="47"/>
      <c r="N35" s="47"/>
      <c r="O35" s="47"/>
      <c r="P35" s="44"/>
      <c r="R35" s="49"/>
      <c r="S35" s="49"/>
      <c r="T35" s="49"/>
      <c r="U35" s="49"/>
    </row>
    <row r="36" spans="1:21" s="48" customFormat="1" ht="36" x14ac:dyDescent="0.15">
      <c r="A36" s="45"/>
      <c r="B36" s="73"/>
      <c r="C36" s="74"/>
      <c r="D36" s="13"/>
      <c r="E36" s="15" t="s">
        <v>191</v>
      </c>
      <c r="F36" s="14" t="s">
        <v>118</v>
      </c>
      <c r="G36" s="14"/>
      <c r="H36" s="13" t="s">
        <v>119</v>
      </c>
      <c r="I36" s="13"/>
      <c r="J36" s="46"/>
      <c r="K36" s="63"/>
      <c r="L36" s="64"/>
      <c r="M36" s="47"/>
      <c r="N36" s="47"/>
      <c r="O36" s="47"/>
      <c r="P36" s="44"/>
      <c r="R36" s="49"/>
      <c r="S36" s="49"/>
      <c r="T36" s="49"/>
      <c r="U36" s="49"/>
    </row>
  </sheetData>
  <mergeCells count="74">
    <mergeCell ref="B9:C9"/>
    <mergeCell ref="K9:L9"/>
    <mergeCell ref="B10:C10"/>
    <mergeCell ref="K10:L10"/>
    <mergeCell ref="B6:C6"/>
    <mergeCell ref="K6:L6"/>
    <mergeCell ref="B7:C7"/>
    <mergeCell ref="K7:L7"/>
    <mergeCell ref="B8:C8"/>
    <mergeCell ref="K8:L8"/>
    <mergeCell ref="B1:E1"/>
    <mergeCell ref="F1:G1"/>
    <mergeCell ref="H1:P1"/>
    <mergeCell ref="A2:A3"/>
    <mergeCell ref="B2:E3"/>
    <mergeCell ref="F2:G3"/>
    <mergeCell ref="A4:D4"/>
    <mergeCell ref="E4:I4"/>
    <mergeCell ref="J4:L4"/>
    <mergeCell ref="M4:P4"/>
    <mergeCell ref="B5:C5"/>
    <mergeCell ref="K5:L5"/>
    <mergeCell ref="B11:C11"/>
    <mergeCell ref="K11:L11"/>
    <mergeCell ref="B12:C12"/>
    <mergeCell ref="K12:L12"/>
    <mergeCell ref="B13:C13"/>
    <mergeCell ref="K13:L13"/>
    <mergeCell ref="B14:C14"/>
    <mergeCell ref="K14:L14"/>
    <mergeCell ref="B15:C15"/>
    <mergeCell ref="K15:L15"/>
    <mergeCell ref="B16:C16"/>
    <mergeCell ref="K16:L16"/>
    <mergeCell ref="B17:C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K22:L22"/>
    <mergeCell ref="B23:C23"/>
    <mergeCell ref="K23:L23"/>
    <mergeCell ref="B24:C24"/>
    <mergeCell ref="K24:L24"/>
    <mergeCell ref="B25:C25"/>
    <mergeCell ref="K25:L25"/>
    <mergeCell ref="B26:C26"/>
    <mergeCell ref="K26:L26"/>
    <mergeCell ref="B27:C27"/>
    <mergeCell ref="K27:L27"/>
    <mergeCell ref="B28:C28"/>
    <mergeCell ref="K28:L28"/>
    <mergeCell ref="B29:C29"/>
    <mergeCell ref="K29:L29"/>
    <mergeCell ref="B30:C30"/>
    <mergeCell ref="K30:L30"/>
    <mergeCell ref="B31:C31"/>
    <mergeCell ref="K31:L31"/>
    <mergeCell ref="B35:C35"/>
    <mergeCell ref="K35:L35"/>
    <mergeCell ref="B36:C36"/>
    <mergeCell ref="K36:L36"/>
    <mergeCell ref="B32:C32"/>
    <mergeCell ref="K32:L32"/>
    <mergeCell ref="B33:C33"/>
    <mergeCell ref="K33:L33"/>
    <mergeCell ref="B34:C34"/>
    <mergeCell ref="K34:L34"/>
  </mergeCells>
  <phoneticPr fontId="6" type="noConversion"/>
  <conditionalFormatting sqref="AB17:AB19 AB1:AB5 AB21:AB405 AB11:AB15">
    <cfRule type="expression" dxfId="55" priority="26">
      <formula>$AB1&gt;$AA1</formula>
    </cfRule>
  </conditionalFormatting>
  <conditionalFormatting sqref="AI17:AI19 AI1:AI5 AI21:AI405 AI11:AI15">
    <cfRule type="expression" dxfId="54" priority="25">
      <formula>$AI1&gt;$AH1</formula>
    </cfRule>
  </conditionalFormatting>
  <conditionalFormatting sqref="AD37:AG405 W37:Z405 R37:U405 AD17:AG19 W17:Z19 R17:U19 AD1:AG5 W1:Z5 R1:U5 R11:U15 W11:Z15 AD11:AG15">
    <cfRule type="expression" dxfId="53" priority="24">
      <formula>OR(WEEKDAY(R1)=1, WEEKDAY(R1)=7)</formula>
    </cfRule>
  </conditionalFormatting>
  <conditionalFormatting sqref="N37:N405 K37:K405 J21:J36">
    <cfRule type="expression" dxfId="52" priority="23">
      <formula>OR($K21="추가", $K21="변경", $K21="삭제")</formula>
    </cfRule>
  </conditionalFormatting>
  <conditionalFormatting sqref="J2">
    <cfRule type="expression" dxfId="51" priority="22">
      <formula>OR(#REF!="추가", #REF!="변경", #REF!="삭제")</formula>
    </cfRule>
  </conditionalFormatting>
  <conditionalFormatting sqref="J11">
    <cfRule type="expression" dxfId="50" priority="20">
      <formula>OR($K11="추가", $K11="변경", $K11="삭제")</formula>
    </cfRule>
  </conditionalFormatting>
  <conditionalFormatting sqref="J4">
    <cfRule type="expression" dxfId="49" priority="21">
      <formula>OR($K4="추가", $K4="변경", $K4="삭제")</formula>
    </cfRule>
  </conditionalFormatting>
  <conditionalFormatting sqref="J12">
    <cfRule type="expression" dxfId="48" priority="19">
      <formula>OR($K12="추가", $K12="변경", $K12="삭제")</formula>
    </cfRule>
  </conditionalFormatting>
  <conditionalFormatting sqref="M4">
    <cfRule type="expression" dxfId="47" priority="18">
      <formula>OR($K4="추가", $K4="변경", $K4="삭제")</formula>
    </cfRule>
  </conditionalFormatting>
  <conditionalFormatting sqref="O2:O3 P2">
    <cfRule type="expression" dxfId="46" priority="27">
      <formula>OR(#REF!="추가", #REF!="변경", #REF!="삭제")</formula>
    </cfRule>
  </conditionalFormatting>
  <conditionalFormatting sqref="AB16">
    <cfRule type="expression" dxfId="45" priority="17">
      <formula>$AB16&gt;$AA16</formula>
    </cfRule>
  </conditionalFormatting>
  <conditionalFormatting sqref="AI16">
    <cfRule type="expression" dxfId="44" priority="16">
      <formula>$AI16&gt;$AH16</formula>
    </cfRule>
  </conditionalFormatting>
  <conditionalFormatting sqref="R16:U16 W16:Z16 AD16:AG16">
    <cfRule type="expression" dxfId="43" priority="15">
      <formula>OR(WEEKDAY(R16)=1, WEEKDAY(R16)=7)</formula>
    </cfRule>
  </conditionalFormatting>
  <conditionalFormatting sqref="AB20">
    <cfRule type="expression" dxfId="42" priority="14">
      <formula>$AB20&gt;$AA20</formula>
    </cfRule>
  </conditionalFormatting>
  <conditionalFormatting sqref="AI20">
    <cfRule type="expression" dxfId="41" priority="13">
      <formula>$AI20&gt;$AH20</formula>
    </cfRule>
  </conditionalFormatting>
  <conditionalFormatting sqref="R20:U20 W20:Z20 AD20:AG20">
    <cfRule type="expression" dxfId="40" priority="12">
      <formula>OR(WEEKDAY(R20)=1, WEEKDAY(R20)=7)</formula>
    </cfRule>
  </conditionalFormatting>
  <conditionalFormatting sqref="AD14:AG14 W14:Z14 R14:U14">
    <cfRule type="expression" dxfId="39" priority="11">
      <formula>OR(WEEKDAY(R14)=1, WEEKDAY(R14)=7)</formula>
    </cfRule>
  </conditionalFormatting>
  <conditionalFormatting sqref="J13:J20">
    <cfRule type="expression" dxfId="38" priority="10">
      <formula>OR($K13="추가", $K13="변경", $K13="삭제")</formula>
    </cfRule>
  </conditionalFormatting>
  <conditionalFormatting sqref="P3">
    <cfRule type="expression" dxfId="37" priority="9">
      <formula>OR($J3="추가", $J3="변경", $J3="삭제")</formula>
    </cfRule>
  </conditionalFormatting>
  <conditionalFormatting sqref="J5 M5:N5">
    <cfRule type="expression" dxfId="36" priority="28">
      <formula>OR(#REF!="추가", #REF!="변경", #REF!="삭제")</formula>
    </cfRule>
  </conditionalFormatting>
  <conditionalFormatting sqref="R21:U36 W21:Z36 AD21:AG36">
    <cfRule type="expression" dxfId="35" priority="8">
      <formula>OR(WEEKDAY(R21)=1, WEEKDAY(R21)=7)</formula>
    </cfRule>
  </conditionalFormatting>
  <conditionalFormatting sqref="AB6:AB10">
    <cfRule type="expression" dxfId="34" priority="7">
      <formula>$AB6&gt;$AA6</formula>
    </cfRule>
  </conditionalFormatting>
  <conditionalFormatting sqref="AI6:AI10">
    <cfRule type="expression" dxfId="33" priority="6">
      <formula>$AI6&gt;$AH6</formula>
    </cfRule>
  </conditionalFormatting>
  <conditionalFormatting sqref="AD6:AG10 W6:Z10 R6:U10">
    <cfRule type="expression" dxfId="32" priority="5">
      <formula>OR(WEEKDAY(R6)=1, WEEKDAY(R6)=7)</formula>
    </cfRule>
  </conditionalFormatting>
  <conditionalFormatting sqref="AD9:AG9 W9:Z9 R9:U9">
    <cfRule type="expression" dxfId="31" priority="4">
      <formula>OR(WEEKDAY(R9)=1, WEEKDAY(R9)=7)</formula>
    </cfRule>
  </conditionalFormatting>
  <conditionalFormatting sqref="J6">
    <cfRule type="expression" dxfId="30" priority="3">
      <formula>OR($K6="추가", $K6="변경", $K6="삭제")</formula>
    </cfRule>
  </conditionalFormatting>
  <conditionalFormatting sqref="J7">
    <cfRule type="expression" dxfId="29" priority="2">
      <formula>OR($K7="추가", $K7="변경", $K7="삭제")</formula>
    </cfRule>
  </conditionalFormatting>
  <conditionalFormatting sqref="J8:J10">
    <cfRule type="expression" dxfId="28" priority="1">
      <formula>OR($K8="추가", $K8="변경", $K8="삭제")</formula>
    </cfRule>
  </conditionalFormatting>
  <dataValidations count="1">
    <dataValidation type="list" showInputMessage="1" showErrorMessage="1" sqref="P3 J6:J36">
      <formula1>"-,P,F,N/A"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Header>&amp;L디지털무역기반구축사업(시스템 개발 3단계)&amp;RD0201_G01_통합테스트시나리오_&amp;A</oddHeader>
    <oddFooter>&amp;L&amp;G&amp;C&amp;P&amp;R&amp;G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J36"/>
  <sheetViews>
    <sheetView showGridLines="0" zoomScale="90" zoomScaleNormal="90" zoomScalePageLayoutView="55" workbookViewId="0">
      <pane ySplit="5" topLeftCell="A6" activePane="bottomLeft" state="frozen"/>
      <selection pane="bottomLeft" activeCell="B6" sqref="B6:C6"/>
    </sheetView>
  </sheetViews>
  <sheetFormatPr defaultColWidth="8.21875" defaultRowHeight="12" x14ac:dyDescent="0.15"/>
  <cols>
    <col min="1" max="1" width="13" style="6" customWidth="1"/>
    <col min="2" max="2" width="15.5546875" style="7" bestFit="1" customWidth="1"/>
    <col min="3" max="3" width="13.5546875" style="7" customWidth="1"/>
    <col min="4" max="4" width="14.21875" style="7" customWidth="1"/>
    <col min="5" max="5" width="3.109375" style="7" bestFit="1" customWidth="1"/>
    <col min="6" max="6" width="33.21875" style="7" customWidth="1"/>
    <col min="7" max="7" width="20.77734375" style="7" customWidth="1"/>
    <col min="8" max="8" width="34.44140625" style="7" customWidth="1"/>
    <col min="9" max="9" width="16.109375" style="9" customWidth="1"/>
    <col min="10" max="10" width="10.6640625" style="1" customWidth="1"/>
    <col min="11" max="11" width="10.6640625" style="7" customWidth="1"/>
    <col min="12" max="12" width="10.6640625" style="8" customWidth="1"/>
    <col min="13" max="14" width="10.6640625" style="7" customWidth="1"/>
    <col min="15" max="16" width="10.6640625" style="8" customWidth="1"/>
    <col min="17" max="17" width="6.21875" style="7" customWidth="1"/>
    <col min="18" max="21" width="14" style="8" bestFit="1" customWidth="1"/>
    <col min="22" max="22" width="6.21875" style="7" bestFit="1" customWidth="1"/>
    <col min="23" max="26" width="13" style="7" bestFit="1" customWidth="1"/>
    <col min="27" max="29" width="6.21875" style="7" bestFit="1" customWidth="1"/>
    <col min="30" max="33" width="13" style="7" bestFit="1" customWidth="1"/>
    <col min="34" max="35" width="6.21875" style="7" bestFit="1" customWidth="1"/>
    <col min="36" max="36" width="22.109375" style="7" customWidth="1"/>
    <col min="37" max="16384" width="8.21875" style="6"/>
  </cols>
  <sheetData>
    <row r="1" spans="1:21" s="7" customFormat="1" ht="39.950000000000003" customHeight="1" x14ac:dyDescent="0.15">
      <c r="A1" s="43" t="s">
        <v>0</v>
      </c>
      <c r="B1" s="68" t="s">
        <v>129</v>
      </c>
      <c r="C1" s="69"/>
      <c r="D1" s="69"/>
      <c r="E1" s="70"/>
      <c r="F1" s="65" t="s">
        <v>12</v>
      </c>
      <c r="G1" s="66"/>
      <c r="H1" s="67" t="s">
        <v>131</v>
      </c>
      <c r="I1" s="67"/>
      <c r="J1" s="67"/>
      <c r="K1" s="67"/>
      <c r="L1" s="67"/>
      <c r="M1" s="67"/>
      <c r="N1" s="67"/>
      <c r="O1" s="67"/>
      <c r="P1" s="67"/>
      <c r="R1" s="8"/>
      <c r="S1" s="8"/>
      <c r="T1" s="8"/>
      <c r="U1" s="8"/>
    </row>
    <row r="2" spans="1:21" s="7" customFormat="1" ht="17.25" customHeight="1" x14ac:dyDescent="0.15">
      <c r="A2" s="83" t="s">
        <v>36</v>
      </c>
      <c r="B2" s="85" t="s">
        <v>130</v>
      </c>
      <c r="C2" s="86"/>
      <c r="D2" s="86"/>
      <c r="E2" s="86"/>
      <c r="F2" s="83" t="s">
        <v>11</v>
      </c>
      <c r="G2" s="89"/>
      <c r="H2" s="23" t="s">
        <v>13</v>
      </c>
      <c r="I2" s="23" t="s">
        <v>10</v>
      </c>
      <c r="J2" s="25" t="s">
        <v>1</v>
      </c>
      <c r="K2" s="25" t="s">
        <v>2</v>
      </c>
      <c r="L2" s="25" t="s">
        <v>3</v>
      </c>
      <c r="M2" s="25" t="s">
        <v>4</v>
      </c>
      <c r="N2" s="25" t="s">
        <v>5</v>
      </c>
      <c r="O2" s="25" t="s">
        <v>6</v>
      </c>
      <c r="P2" s="3" t="s">
        <v>8</v>
      </c>
      <c r="R2" s="8"/>
      <c r="S2" s="8"/>
      <c r="T2" s="8"/>
      <c r="U2" s="8"/>
    </row>
    <row r="3" spans="1:21" s="7" customFormat="1" ht="38.25" customHeight="1" x14ac:dyDescent="0.15">
      <c r="A3" s="84"/>
      <c r="B3" s="87"/>
      <c r="C3" s="88"/>
      <c r="D3" s="88"/>
      <c r="E3" s="88"/>
      <c r="F3" s="84"/>
      <c r="G3" s="90"/>
      <c r="H3" s="23" t="s">
        <v>54</v>
      </c>
      <c r="I3" s="22">
        <v>44790</v>
      </c>
      <c r="J3" s="21">
        <f>COUNTA($F$6:$F$205)</f>
        <v>31</v>
      </c>
      <c r="K3" s="11">
        <f>COUNTIF($J$6:$J$205,"P")</f>
        <v>0</v>
      </c>
      <c r="L3" s="11">
        <f>COUNTIF($J$6:$J$205,"F")</f>
        <v>0</v>
      </c>
      <c r="M3" s="11">
        <f>COUNTIF($J$6:$J$205,"N/A")</f>
        <v>0</v>
      </c>
      <c r="N3" s="21">
        <f>COUNTA($O$6:$O$205)</f>
        <v>0</v>
      </c>
      <c r="O3" s="2" t="str">
        <f>IFERROR(N3/L3,"-")</f>
        <v>-</v>
      </c>
      <c r="P3" s="24" t="s">
        <v>50</v>
      </c>
      <c r="R3" s="8"/>
      <c r="S3" s="8"/>
      <c r="T3" s="8"/>
      <c r="U3" s="8"/>
    </row>
    <row r="4" spans="1:21" s="7" customFormat="1" ht="22.5" customHeight="1" x14ac:dyDescent="0.15">
      <c r="A4" s="75" t="s">
        <v>9</v>
      </c>
      <c r="B4" s="76"/>
      <c r="C4" s="76"/>
      <c r="D4" s="77"/>
      <c r="E4" s="78" t="s">
        <v>25</v>
      </c>
      <c r="F4" s="79"/>
      <c r="G4" s="79"/>
      <c r="H4" s="79"/>
      <c r="I4" s="79"/>
      <c r="J4" s="80" t="s">
        <v>8</v>
      </c>
      <c r="K4" s="81"/>
      <c r="L4" s="82"/>
      <c r="M4" s="81" t="s">
        <v>51</v>
      </c>
      <c r="N4" s="81"/>
      <c r="O4" s="81"/>
      <c r="P4" s="81"/>
      <c r="R4" s="8"/>
      <c r="S4" s="8"/>
      <c r="T4" s="8"/>
      <c r="U4" s="8"/>
    </row>
    <row r="5" spans="1:21" s="7" customFormat="1" ht="22.5" customHeight="1" x14ac:dyDescent="0.15">
      <c r="A5" s="20" t="s">
        <v>14</v>
      </c>
      <c r="B5" s="71" t="s">
        <v>15</v>
      </c>
      <c r="C5" s="72"/>
      <c r="D5" s="19" t="s">
        <v>16</v>
      </c>
      <c r="E5" s="20" t="s">
        <v>17</v>
      </c>
      <c r="F5" s="4" t="s">
        <v>18</v>
      </c>
      <c r="G5" s="4" t="s">
        <v>26</v>
      </c>
      <c r="H5" s="4" t="s">
        <v>19</v>
      </c>
      <c r="I5" s="19" t="s">
        <v>20</v>
      </c>
      <c r="J5" s="18" t="s">
        <v>53</v>
      </c>
      <c r="K5" s="93" t="s">
        <v>55</v>
      </c>
      <c r="L5" s="66"/>
      <c r="M5" s="18" t="s">
        <v>21</v>
      </c>
      <c r="N5" s="17" t="s">
        <v>22</v>
      </c>
      <c r="O5" s="17" t="s">
        <v>23</v>
      </c>
      <c r="P5" s="16" t="s">
        <v>24</v>
      </c>
      <c r="R5" s="8"/>
      <c r="S5" s="8"/>
      <c r="T5" s="8"/>
      <c r="U5" s="8"/>
    </row>
    <row r="6" spans="1:21" s="7" customFormat="1" ht="24" x14ac:dyDescent="0.15">
      <c r="A6" s="5" t="s">
        <v>192</v>
      </c>
      <c r="B6" s="73" t="s">
        <v>211</v>
      </c>
      <c r="C6" s="74"/>
      <c r="D6" s="13" t="s">
        <v>212</v>
      </c>
      <c r="E6" s="15" t="s">
        <v>27</v>
      </c>
      <c r="F6" s="14" t="s">
        <v>195</v>
      </c>
      <c r="G6" s="14"/>
      <c r="H6" s="14" t="s">
        <v>213</v>
      </c>
      <c r="I6" s="13" t="s">
        <v>214</v>
      </c>
      <c r="J6" s="12"/>
      <c r="K6" s="91"/>
      <c r="L6" s="92"/>
      <c r="M6" s="11"/>
      <c r="N6" s="11"/>
      <c r="O6" s="11"/>
      <c r="P6" s="10"/>
      <c r="R6" s="8"/>
      <c r="S6" s="8"/>
      <c r="T6" s="8"/>
      <c r="U6" s="8"/>
    </row>
    <row r="7" spans="1:21" s="48" customFormat="1" ht="192" x14ac:dyDescent="0.15">
      <c r="A7" s="45"/>
      <c r="B7" s="73"/>
      <c r="C7" s="74"/>
      <c r="D7" s="13" t="s">
        <v>215</v>
      </c>
      <c r="E7" s="15" t="s">
        <v>7</v>
      </c>
      <c r="F7" s="14" t="s">
        <v>199</v>
      </c>
      <c r="G7" s="14" t="s">
        <v>216</v>
      </c>
      <c r="H7" s="14"/>
      <c r="I7" s="13" t="s">
        <v>217</v>
      </c>
      <c r="J7" s="46"/>
      <c r="K7" s="63"/>
      <c r="L7" s="64"/>
      <c r="M7" s="47"/>
      <c r="N7" s="47"/>
      <c r="O7" s="47"/>
      <c r="P7" s="50"/>
      <c r="R7" s="49"/>
      <c r="S7" s="49"/>
      <c r="T7" s="49"/>
      <c r="U7" s="49"/>
    </row>
    <row r="8" spans="1:21" s="48" customFormat="1" ht="60" x14ac:dyDescent="0.15">
      <c r="A8" s="45"/>
      <c r="B8" s="73"/>
      <c r="C8" s="74"/>
      <c r="D8" s="13" t="s">
        <v>218</v>
      </c>
      <c r="E8" s="15" t="s">
        <v>38</v>
      </c>
      <c r="F8" s="14" t="s">
        <v>203</v>
      </c>
      <c r="G8" s="14" t="s">
        <v>219</v>
      </c>
      <c r="H8" s="14"/>
      <c r="I8" s="13" t="s">
        <v>220</v>
      </c>
      <c r="J8" s="46"/>
      <c r="K8" s="63"/>
      <c r="L8" s="64"/>
      <c r="M8" s="47"/>
      <c r="N8" s="47"/>
      <c r="O8" s="47"/>
      <c r="P8" s="50"/>
      <c r="R8" s="49"/>
      <c r="S8" s="49"/>
      <c r="T8" s="49"/>
      <c r="U8" s="49"/>
    </row>
    <row r="9" spans="1:21" s="48" customFormat="1" ht="36" x14ac:dyDescent="0.15">
      <c r="A9" s="45"/>
      <c r="B9" s="73"/>
      <c r="C9" s="74"/>
      <c r="D9" s="13" t="s">
        <v>223</v>
      </c>
      <c r="E9" s="15" t="s">
        <v>28</v>
      </c>
      <c r="F9" s="14" t="s">
        <v>207</v>
      </c>
      <c r="G9" s="14" t="s">
        <v>208</v>
      </c>
      <c r="H9" s="14"/>
      <c r="I9" s="13"/>
      <c r="J9" s="46"/>
      <c r="K9" s="63"/>
      <c r="L9" s="64"/>
      <c r="M9" s="47"/>
      <c r="N9" s="47"/>
      <c r="O9" s="47"/>
      <c r="P9" s="50"/>
      <c r="R9" s="49"/>
      <c r="S9" s="49"/>
      <c r="T9" s="49"/>
      <c r="U9" s="49"/>
    </row>
    <row r="10" spans="1:21" s="48" customFormat="1" ht="24" x14ac:dyDescent="0.15">
      <c r="A10" s="45"/>
      <c r="B10" s="73"/>
      <c r="C10" s="74"/>
      <c r="D10" s="13"/>
      <c r="E10" s="15" t="s">
        <v>29</v>
      </c>
      <c r="F10" s="14" t="s">
        <v>209</v>
      </c>
      <c r="G10" s="14"/>
      <c r="H10" s="14" t="s">
        <v>222</v>
      </c>
      <c r="I10" s="13"/>
      <c r="J10" s="46"/>
      <c r="K10" s="63"/>
      <c r="L10" s="64"/>
      <c r="M10" s="47"/>
      <c r="N10" s="47"/>
      <c r="O10" s="47"/>
      <c r="P10" s="50"/>
      <c r="R10" s="49"/>
      <c r="S10" s="49"/>
      <c r="T10" s="49"/>
      <c r="U10" s="49"/>
    </row>
    <row r="11" spans="1:21" s="7" customFormat="1" ht="36" customHeight="1" x14ac:dyDescent="0.15">
      <c r="A11" s="5" t="s">
        <v>37</v>
      </c>
      <c r="B11" s="73" t="s">
        <v>56</v>
      </c>
      <c r="C11" s="74"/>
      <c r="D11" s="13" t="s">
        <v>57</v>
      </c>
      <c r="E11" s="15" t="s">
        <v>30</v>
      </c>
      <c r="F11" s="14" t="s">
        <v>82</v>
      </c>
      <c r="G11" s="14"/>
      <c r="H11" s="14" t="s">
        <v>61</v>
      </c>
      <c r="I11" s="13" t="s">
        <v>52</v>
      </c>
      <c r="J11" s="12"/>
      <c r="K11" s="91"/>
      <c r="L11" s="92"/>
      <c r="M11" s="11"/>
      <c r="N11" s="11"/>
      <c r="O11" s="11"/>
      <c r="P11" s="10"/>
      <c r="R11" s="8"/>
      <c r="S11" s="8"/>
      <c r="T11" s="8"/>
      <c r="U11" s="8"/>
    </row>
    <row r="12" spans="1:21" s="48" customFormat="1" ht="30" customHeight="1" x14ac:dyDescent="0.15">
      <c r="A12" s="45"/>
      <c r="B12" s="73"/>
      <c r="C12" s="74"/>
      <c r="D12" s="13"/>
      <c r="E12" s="15" t="s">
        <v>31</v>
      </c>
      <c r="F12" s="14" t="s">
        <v>85</v>
      </c>
      <c r="G12" s="14"/>
      <c r="H12" s="14" t="s">
        <v>61</v>
      </c>
      <c r="I12" s="13"/>
      <c r="J12" s="46"/>
      <c r="K12" s="63"/>
      <c r="L12" s="64"/>
      <c r="M12" s="47"/>
      <c r="N12" s="47"/>
      <c r="O12" s="47"/>
      <c r="P12" s="44"/>
      <c r="R12" s="49"/>
      <c r="S12" s="49"/>
      <c r="T12" s="49"/>
      <c r="U12" s="49"/>
    </row>
    <row r="13" spans="1:21" s="48" customFormat="1" ht="30" customHeight="1" x14ac:dyDescent="0.15">
      <c r="A13" s="45"/>
      <c r="B13" s="73"/>
      <c r="C13" s="74"/>
      <c r="D13" s="13"/>
      <c r="E13" s="15" t="s">
        <v>32</v>
      </c>
      <c r="F13" s="14" t="s">
        <v>86</v>
      </c>
      <c r="G13" s="14"/>
      <c r="H13" s="14" t="s">
        <v>61</v>
      </c>
      <c r="I13" s="13"/>
      <c r="J13" s="46"/>
      <c r="K13" s="63"/>
      <c r="L13" s="64"/>
      <c r="M13" s="47"/>
      <c r="N13" s="47"/>
      <c r="O13" s="47"/>
      <c r="P13" s="44"/>
      <c r="R13" s="49"/>
      <c r="S13" s="49"/>
      <c r="T13" s="49"/>
      <c r="U13" s="49"/>
    </row>
    <row r="14" spans="1:21" s="48" customFormat="1" ht="30" customHeight="1" x14ac:dyDescent="0.15">
      <c r="A14" s="45"/>
      <c r="B14" s="73"/>
      <c r="C14" s="74"/>
      <c r="D14" s="13"/>
      <c r="E14" s="15" t="s">
        <v>33</v>
      </c>
      <c r="F14" s="14" t="s">
        <v>87</v>
      </c>
      <c r="G14" s="14"/>
      <c r="H14" s="14" t="s">
        <v>61</v>
      </c>
      <c r="I14" s="13"/>
      <c r="J14" s="46"/>
      <c r="K14" s="63"/>
      <c r="L14" s="64"/>
      <c r="M14" s="47"/>
      <c r="N14" s="47"/>
      <c r="O14" s="47"/>
      <c r="P14" s="44"/>
      <c r="R14" s="49"/>
      <c r="S14" s="49"/>
      <c r="T14" s="49"/>
      <c r="U14" s="49"/>
    </row>
    <row r="15" spans="1:21" s="48" customFormat="1" ht="30" customHeight="1" x14ac:dyDescent="0.15">
      <c r="A15" s="45"/>
      <c r="B15" s="73"/>
      <c r="C15" s="74"/>
      <c r="D15" s="13"/>
      <c r="E15" s="15" t="s">
        <v>34</v>
      </c>
      <c r="F15" s="14" t="s">
        <v>123</v>
      </c>
      <c r="G15" s="14"/>
      <c r="H15" s="14" t="s">
        <v>61</v>
      </c>
      <c r="I15" s="13"/>
      <c r="J15" s="46"/>
      <c r="K15" s="63"/>
      <c r="L15" s="64"/>
      <c r="M15" s="47"/>
      <c r="N15" s="47"/>
      <c r="O15" s="47"/>
      <c r="P15" s="44"/>
      <c r="R15" s="49"/>
      <c r="S15" s="49"/>
      <c r="T15" s="49"/>
      <c r="U15" s="49"/>
    </row>
    <row r="16" spans="1:21" s="48" customFormat="1" ht="30" customHeight="1" x14ac:dyDescent="0.15">
      <c r="A16" s="45"/>
      <c r="B16" s="73"/>
      <c r="C16" s="74"/>
      <c r="D16" s="13"/>
      <c r="E16" s="15" t="s">
        <v>35</v>
      </c>
      <c r="F16" s="14" t="s">
        <v>63</v>
      </c>
      <c r="G16" s="14"/>
      <c r="H16" s="13" t="s">
        <v>62</v>
      </c>
      <c r="I16" s="13"/>
      <c r="J16" s="46"/>
      <c r="K16" s="63"/>
      <c r="L16" s="64"/>
      <c r="M16" s="47"/>
      <c r="N16" s="47"/>
      <c r="O16" s="47"/>
      <c r="P16" s="44"/>
      <c r="R16" s="49"/>
      <c r="S16" s="49"/>
      <c r="T16" s="49"/>
      <c r="U16" s="49"/>
    </row>
    <row r="17" spans="1:21" s="48" customFormat="1" ht="60" x14ac:dyDescent="0.15">
      <c r="A17" s="45"/>
      <c r="B17" s="73"/>
      <c r="C17" s="74"/>
      <c r="D17" s="13"/>
      <c r="E17" s="15" t="s">
        <v>66</v>
      </c>
      <c r="F17" s="14" t="s">
        <v>88</v>
      </c>
      <c r="G17" s="14"/>
      <c r="H17" s="13" t="s">
        <v>115</v>
      </c>
      <c r="I17" s="13"/>
      <c r="J17" s="46"/>
      <c r="K17" s="63"/>
      <c r="L17" s="64"/>
      <c r="M17" s="47"/>
      <c r="N17" s="47"/>
      <c r="O17" s="47"/>
      <c r="P17" s="44"/>
      <c r="R17" s="49"/>
      <c r="S17" s="49"/>
      <c r="T17" s="49"/>
      <c r="U17" s="49"/>
    </row>
    <row r="18" spans="1:21" s="48" customFormat="1" ht="30" customHeight="1" x14ac:dyDescent="0.15">
      <c r="A18" s="45"/>
      <c r="B18" s="73"/>
      <c r="C18" s="74"/>
      <c r="D18" s="13"/>
      <c r="E18" s="15" t="s">
        <v>67</v>
      </c>
      <c r="F18" s="14" t="s">
        <v>84</v>
      </c>
      <c r="G18" s="14"/>
      <c r="H18" s="13" t="s">
        <v>64</v>
      </c>
      <c r="I18" s="13"/>
      <c r="J18" s="46"/>
      <c r="K18" s="63"/>
      <c r="L18" s="64"/>
      <c r="M18" s="47"/>
      <c r="N18" s="47"/>
      <c r="O18" s="47"/>
      <c r="P18" s="44"/>
      <c r="R18" s="49"/>
      <c r="S18" s="49"/>
      <c r="T18" s="49"/>
      <c r="U18" s="49"/>
    </row>
    <row r="19" spans="1:21" s="48" customFormat="1" ht="30" customHeight="1" x14ac:dyDescent="0.15">
      <c r="A19" s="45"/>
      <c r="B19" s="73"/>
      <c r="C19" s="74"/>
      <c r="D19" s="13" t="s">
        <v>65</v>
      </c>
      <c r="E19" s="15" t="s">
        <v>68</v>
      </c>
      <c r="F19" s="14" t="s">
        <v>124</v>
      </c>
      <c r="G19" s="14"/>
      <c r="H19" s="14" t="s">
        <v>61</v>
      </c>
      <c r="I19" s="13"/>
      <c r="J19" s="46"/>
      <c r="K19" s="63"/>
      <c r="L19" s="64"/>
      <c r="M19" s="47"/>
      <c r="N19" s="47"/>
      <c r="O19" s="47"/>
      <c r="P19" s="44"/>
      <c r="R19" s="49"/>
      <c r="S19" s="49"/>
      <c r="T19" s="49"/>
      <c r="U19" s="49"/>
    </row>
    <row r="20" spans="1:21" s="48" customFormat="1" ht="24" x14ac:dyDescent="0.15">
      <c r="A20" s="45"/>
      <c r="B20" s="73"/>
      <c r="C20" s="74"/>
      <c r="D20" s="13"/>
      <c r="E20" s="15" t="s">
        <v>69</v>
      </c>
      <c r="F20" s="14" t="s">
        <v>89</v>
      </c>
      <c r="G20" s="14"/>
      <c r="H20" s="13" t="s">
        <v>91</v>
      </c>
      <c r="I20" s="13"/>
      <c r="J20" s="46"/>
      <c r="K20" s="63"/>
      <c r="L20" s="64"/>
      <c r="M20" s="47"/>
      <c r="N20" s="47"/>
      <c r="O20" s="47"/>
      <c r="P20" s="44"/>
      <c r="R20" s="49"/>
      <c r="S20" s="49"/>
      <c r="T20" s="49"/>
      <c r="U20" s="49"/>
    </row>
    <row r="21" spans="1:21" s="48" customFormat="1" ht="36" x14ac:dyDescent="0.15">
      <c r="A21" s="45"/>
      <c r="B21" s="73"/>
      <c r="C21" s="74"/>
      <c r="D21" s="13"/>
      <c r="E21" s="15" t="s">
        <v>70</v>
      </c>
      <c r="F21" s="14" t="s">
        <v>92</v>
      </c>
      <c r="G21" s="14"/>
      <c r="H21" s="14" t="s">
        <v>61</v>
      </c>
      <c r="I21" s="13"/>
      <c r="J21" s="46"/>
      <c r="K21" s="63"/>
      <c r="L21" s="64"/>
      <c r="M21" s="47"/>
      <c r="N21" s="47"/>
      <c r="O21" s="47"/>
      <c r="P21" s="44"/>
      <c r="R21" s="49"/>
      <c r="S21" s="49"/>
      <c r="T21" s="49"/>
      <c r="U21" s="49"/>
    </row>
    <row r="22" spans="1:21" s="48" customFormat="1" ht="30" customHeight="1" x14ac:dyDescent="0.15">
      <c r="A22" s="45"/>
      <c r="B22" s="73"/>
      <c r="C22" s="74"/>
      <c r="D22" s="13"/>
      <c r="E22" s="15" t="s">
        <v>71</v>
      </c>
      <c r="F22" s="14" t="s">
        <v>90</v>
      </c>
      <c r="G22" s="14"/>
      <c r="H22" s="13" t="s">
        <v>93</v>
      </c>
      <c r="I22" s="13"/>
      <c r="J22" s="46"/>
      <c r="K22" s="63"/>
      <c r="L22" s="64"/>
      <c r="M22" s="47"/>
      <c r="N22" s="47"/>
      <c r="O22" s="47"/>
      <c r="P22" s="44"/>
      <c r="R22" s="49"/>
      <c r="S22" s="49"/>
      <c r="T22" s="49"/>
      <c r="U22" s="49"/>
    </row>
    <row r="23" spans="1:21" s="48" customFormat="1" ht="96" x14ac:dyDescent="0.15">
      <c r="A23" s="45"/>
      <c r="B23" s="73"/>
      <c r="C23" s="74"/>
      <c r="D23" s="13"/>
      <c r="E23" s="15" t="s">
        <v>72</v>
      </c>
      <c r="F23" s="14" t="s">
        <v>94</v>
      </c>
      <c r="G23" s="14"/>
      <c r="H23" s="14" t="s">
        <v>61</v>
      </c>
      <c r="I23" s="13"/>
      <c r="J23" s="46"/>
      <c r="K23" s="63"/>
      <c r="L23" s="64"/>
      <c r="M23" s="47"/>
      <c r="N23" s="47"/>
      <c r="O23" s="47"/>
      <c r="P23" s="44"/>
      <c r="R23" s="49"/>
      <c r="S23" s="49"/>
      <c r="T23" s="49"/>
      <c r="U23" s="49"/>
    </row>
    <row r="24" spans="1:21" s="48" customFormat="1" ht="30" customHeight="1" x14ac:dyDescent="0.15">
      <c r="A24" s="45"/>
      <c r="B24" s="73"/>
      <c r="C24" s="74"/>
      <c r="D24" s="13"/>
      <c r="E24" s="15" t="s">
        <v>73</v>
      </c>
      <c r="F24" s="14" t="s">
        <v>95</v>
      </c>
      <c r="G24" s="14"/>
      <c r="H24" s="13" t="s">
        <v>101</v>
      </c>
      <c r="I24" s="13"/>
      <c r="J24" s="46"/>
      <c r="K24" s="63"/>
      <c r="L24" s="64"/>
      <c r="M24" s="47"/>
      <c r="N24" s="47"/>
      <c r="O24" s="47"/>
      <c r="P24" s="44"/>
      <c r="R24" s="49"/>
      <c r="S24" s="49"/>
      <c r="T24" s="49"/>
      <c r="U24" s="49"/>
    </row>
    <row r="25" spans="1:21" s="48" customFormat="1" ht="30" customHeight="1" x14ac:dyDescent="0.15">
      <c r="A25" s="45"/>
      <c r="B25" s="73"/>
      <c r="C25" s="74"/>
      <c r="D25" s="13"/>
      <c r="E25" s="15" t="s">
        <v>74</v>
      </c>
      <c r="F25" s="14" t="s">
        <v>96</v>
      </c>
      <c r="G25" s="14"/>
      <c r="H25" s="13" t="s">
        <v>102</v>
      </c>
      <c r="I25" s="13"/>
      <c r="J25" s="46"/>
      <c r="K25" s="63"/>
      <c r="L25" s="64"/>
      <c r="M25" s="47"/>
      <c r="N25" s="47"/>
      <c r="O25" s="47"/>
      <c r="P25" s="44"/>
      <c r="R25" s="49"/>
      <c r="S25" s="49"/>
      <c r="T25" s="49"/>
      <c r="U25" s="49"/>
    </row>
    <row r="26" spans="1:21" s="48" customFormat="1" ht="30" customHeight="1" x14ac:dyDescent="0.15">
      <c r="A26" s="45"/>
      <c r="B26" s="73"/>
      <c r="C26" s="74"/>
      <c r="D26" s="13"/>
      <c r="E26" s="15" t="s">
        <v>75</v>
      </c>
      <c r="F26" s="14" t="s">
        <v>97</v>
      </c>
      <c r="G26" s="14"/>
      <c r="H26" s="13" t="s">
        <v>103</v>
      </c>
      <c r="I26" s="13"/>
      <c r="J26" s="46"/>
      <c r="K26" s="63"/>
      <c r="L26" s="64"/>
      <c r="M26" s="47"/>
      <c r="N26" s="47"/>
      <c r="O26" s="47"/>
      <c r="P26" s="44"/>
      <c r="R26" s="49"/>
      <c r="S26" s="49"/>
      <c r="T26" s="49"/>
      <c r="U26" s="49"/>
    </row>
    <row r="27" spans="1:21" s="48" customFormat="1" ht="30" customHeight="1" x14ac:dyDescent="0.15">
      <c r="A27" s="45"/>
      <c r="B27" s="73"/>
      <c r="C27" s="74"/>
      <c r="D27" s="13"/>
      <c r="E27" s="15" t="s">
        <v>76</v>
      </c>
      <c r="F27" s="14" t="s">
        <v>98</v>
      </c>
      <c r="G27" s="14"/>
      <c r="H27" s="13" t="s">
        <v>104</v>
      </c>
      <c r="I27" s="13"/>
      <c r="J27" s="46"/>
      <c r="K27" s="63"/>
      <c r="L27" s="64"/>
      <c r="M27" s="47"/>
      <c r="N27" s="47"/>
      <c r="O27" s="47"/>
      <c r="P27" s="44"/>
      <c r="R27" s="49"/>
      <c r="S27" s="49"/>
      <c r="T27" s="49"/>
      <c r="U27" s="49"/>
    </row>
    <row r="28" spans="1:21" s="48" customFormat="1" ht="30" customHeight="1" x14ac:dyDescent="0.15">
      <c r="A28" s="45"/>
      <c r="B28" s="73"/>
      <c r="C28" s="74"/>
      <c r="D28" s="13"/>
      <c r="E28" s="15" t="s">
        <v>77</v>
      </c>
      <c r="F28" s="14" t="s">
        <v>99</v>
      </c>
      <c r="G28" s="14"/>
      <c r="H28" s="13" t="s">
        <v>105</v>
      </c>
      <c r="I28" s="13"/>
      <c r="J28" s="46"/>
      <c r="K28" s="63"/>
      <c r="L28" s="64"/>
      <c r="M28" s="47"/>
      <c r="N28" s="47"/>
      <c r="O28" s="47"/>
      <c r="P28" s="44"/>
      <c r="R28" s="49"/>
      <c r="S28" s="49"/>
      <c r="T28" s="49"/>
      <c r="U28" s="49"/>
    </row>
    <row r="29" spans="1:21" s="48" customFormat="1" ht="30" customHeight="1" x14ac:dyDescent="0.15">
      <c r="A29" s="45"/>
      <c r="B29" s="73"/>
      <c r="C29" s="74"/>
      <c r="D29" s="13"/>
      <c r="E29" s="15" t="s">
        <v>78</v>
      </c>
      <c r="F29" s="14" t="s">
        <v>125</v>
      </c>
      <c r="G29" s="14"/>
      <c r="H29" s="13" t="s">
        <v>106</v>
      </c>
      <c r="I29" s="13"/>
      <c r="J29" s="46"/>
      <c r="K29" s="63"/>
      <c r="L29" s="64"/>
      <c r="M29" s="47"/>
      <c r="N29" s="47"/>
      <c r="O29" s="47"/>
      <c r="P29" s="44"/>
      <c r="R29" s="49"/>
      <c r="S29" s="49"/>
      <c r="T29" s="49"/>
      <c r="U29" s="49"/>
    </row>
    <row r="30" spans="1:21" s="48" customFormat="1" ht="30" customHeight="1" x14ac:dyDescent="0.15">
      <c r="A30" s="45"/>
      <c r="B30" s="73"/>
      <c r="C30" s="74"/>
      <c r="D30" s="13" t="s">
        <v>107</v>
      </c>
      <c r="E30" s="15" t="s">
        <v>79</v>
      </c>
      <c r="F30" s="14" t="s">
        <v>108</v>
      </c>
      <c r="G30" s="14"/>
      <c r="H30" s="14" t="s">
        <v>61</v>
      </c>
      <c r="I30" s="13"/>
      <c r="J30" s="46"/>
      <c r="K30" s="63"/>
      <c r="L30" s="64"/>
      <c r="M30" s="47"/>
      <c r="N30" s="47"/>
      <c r="O30" s="47"/>
      <c r="P30" s="44"/>
      <c r="R30" s="49"/>
      <c r="S30" s="49"/>
      <c r="T30" s="49"/>
      <c r="U30" s="49"/>
    </row>
    <row r="31" spans="1:21" s="48" customFormat="1" ht="36" x14ac:dyDescent="0.15">
      <c r="A31" s="45"/>
      <c r="B31" s="73"/>
      <c r="C31" s="74"/>
      <c r="D31" s="13"/>
      <c r="E31" s="15" t="s">
        <v>80</v>
      </c>
      <c r="F31" s="14" t="s">
        <v>110</v>
      </c>
      <c r="G31" s="14"/>
      <c r="H31" s="14" t="s">
        <v>109</v>
      </c>
      <c r="I31" s="13"/>
      <c r="J31" s="46"/>
      <c r="K31" s="63"/>
      <c r="L31" s="64"/>
      <c r="M31" s="47"/>
      <c r="N31" s="47"/>
      <c r="O31" s="47"/>
      <c r="P31" s="44"/>
      <c r="R31" s="49"/>
      <c r="S31" s="49"/>
      <c r="T31" s="49"/>
      <c r="U31" s="49"/>
    </row>
    <row r="32" spans="1:21" s="48" customFormat="1" ht="36" x14ac:dyDescent="0.15">
      <c r="A32" s="45"/>
      <c r="B32" s="73"/>
      <c r="C32" s="74"/>
      <c r="D32" s="13"/>
      <c r="E32" s="15" t="s">
        <v>187</v>
      </c>
      <c r="F32" s="14" t="s">
        <v>111</v>
      </c>
      <c r="G32" s="14"/>
      <c r="H32" s="14" t="s">
        <v>112</v>
      </c>
      <c r="I32" s="13"/>
      <c r="J32" s="46"/>
      <c r="K32" s="63"/>
      <c r="L32" s="64"/>
      <c r="M32" s="47"/>
      <c r="N32" s="47"/>
      <c r="O32" s="47"/>
      <c r="P32" s="44"/>
      <c r="R32" s="49"/>
      <c r="S32" s="49"/>
      <c r="T32" s="49"/>
      <c r="U32" s="49"/>
    </row>
    <row r="33" spans="1:21" s="48" customFormat="1" ht="30" customHeight="1" x14ac:dyDescent="0.15">
      <c r="A33" s="45"/>
      <c r="B33" s="73"/>
      <c r="C33" s="74"/>
      <c r="D33" s="13"/>
      <c r="E33" s="15" t="s">
        <v>188</v>
      </c>
      <c r="F33" s="14" t="s">
        <v>63</v>
      </c>
      <c r="G33" s="14"/>
      <c r="H33" s="13" t="s">
        <v>62</v>
      </c>
      <c r="I33" s="13"/>
      <c r="J33" s="46"/>
      <c r="K33" s="63"/>
      <c r="L33" s="64"/>
      <c r="M33" s="47"/>
      <c r="N33" s="47"/>
      <c r="O33" s="47"/>
      <c r="P33" s="44"/>
      <c r="R33" s="49"/>
      <c r="S33" s="49"/>
      <c r="T33" s="49"/>
      <c r="U33" s="49"/>
    </row>
    <row r="34" spans="1:21" s="48" customFormat="1" ht="24" x14ac:dyDescent="0.15">
      <c r="A34" s="45"/>
      <c r="B34" s="73"/>
      <c r="C34" s="74"/>
      <c r="D34" s="13"/>
      <c r="E34" s="15" t="s">
        <v>189</v>
      </c>
      <c r="F34" s="14" t="s">
        <v>113</v>
      </c>
      <c r="G34" s="14"/>
      <c r="H34" s="13" t="s">
        <v>114</v>
      </c>
      <c r="I34" s="13"/>
      <c r="J34" s="46"/>
      <c r="K34" s="63"/>
      <c r="L34" s="64"/>
      <c r="M34" s="47"/>
      <c r="N34" s="47"/>
      <c r="O34" s="47"/>
      <c r="P34" s="44"/>
      <c r="R34" s="49"/>
      <c r="S34" s="49"/>
      <c r="T34" s="49"/>
      <c r="U34" s="49"/>
    </row>
    <row r="35" spans="1:21" s="48" customFormat="1" ht="36" x14ac:dyDescent="0.15">
      <c r="A35" s="45"/>
      <c r="B35" s="73"/>
      <c r="C35" s="74"/>
      <c r="D35" s="13"/>
      <c r="E35" s="15" t="s">
        <v>190</v>
      </c>
      <c r="F35" s="14" t="s">
        <v>116</v>
      </c>
      <c r="G35" s="14"/>
      <c r="H35" s="13" t="s">
        <v>117</v>
      </c>
      <c r="I35" s="13"/>
      <c r="J35" s="46"/>
      <c r="K35" s="63"/>
      <c r="L35" s="64"/>
      <c r="M35" s="47"/>
      <c r="N35" s="47"/>
      <c r="O35" s="47"/>
      <c r="P35" s="44"/>
      <c r="R35" s="49"/>
      <c r="S35" s="49"/>
      <c r="T35" s="49"/>
      <c r="U35" s="49"/>
    </row>
    <row r="36" spans="1:21" s="48" customFormat="1" ht="36" x14ac:dyDescent="0.15">
      <c r="A36" s="45"/>
      <c r="B36" s="73"/>
      <c r="C36" s="74"/>
      <c r="D36" s="13"/>
      <c r="E36" s="15" t="s">
        <v>191</v>
      </c>
      <c r="F36" s="14" t="s">
        <v>118</v>
      </c>
      <c r="G36" s="14"/>
      <c r="H36" s="13" t="s">
        <v>119</v>
      </c>
      <c r="I36" s="13"/>
      <c r="J36" s="46"/>
      <c r="K36" s="63"/>
      <c r="L36" s="64"/>
      <c r="M36" s="47"/>
      <c r="N36" s="47"/>
      <c r="O36" s="47"/>
      <c r="P36" s="44"/>
      <c r="R36" s="49"/>
      <c r="S36" s="49"/>
      <c r="T36" s="49"/>
      <c r="U36" s="49"/>
    </row>
  </sheetData>
  <mergeCells count="74">
    <mergeCell ref="B9:C9"/>
    <mergeCell ref="K9:L9"/>
    <mergeCell ref="B10:C10"/>
    <mergeCell ref="K10:L10"/>
    <mergeCell ref="B6:C6"/>
    <mergeCell ref="K6:L6"/>
    <mergeCell ref="B7:C7"/>
    <mergeCell ref="K7:L7"/>
    <mergeCell ref="B8:C8"/>
    <mergeCell ref="K8:L8"/>
    <mergeCell ref="B1:E1"/>
    <mergeCell ref="F1:G1"/>
    <mergeCell ref="H1:P1"/>
    <mergeCell ref="A2:A3"/>
    <mergeCell ref="B2:E3"/>
    <mergeCell ref="F2:G3"/>
    <mergeCell ref="A4:D4"/>
    <mergeCell ref="E4:I4"/>
    <mergeCell ref="J4:L4"/>
    <mergeCell ref="M4:P4"/>
    <mergeCell ref="B5:C5"/>
    <mergeCell ref="K5:L5"/>
    <mergeCell ref="B11:C11"/>
    <mergeCell ref="K11:L11"/>
    <mergeCell ref="B12:C12"/>
    <mergeCell ref="K12:L12"/>
    <mergeCell ref="B13:C13"/>
    <mergeCell ref="K13:L13"/>
    <mergeCell ref="B14:C14"/>
    <mergeCell ref="K14:L14"/>
    <mergeCell ref="B15:C15"/>
    <mergeCell ref="K15:L15"/>
    <mergeCell ref="B16:C16"/>
    <mergeCell ref="K16:L16"/>
    <mergeCell ref="B17:C17"/>
    <mergeCell ref="K17:L17"/>
    <mergeCell ref="B18:C18"/>
    <mergeCell ref="K18:L18"/>
    <mergeCell ref="B19:C19"/>
    <mergeCell ref="K19:L19"/>
    <mergeCell ref="B20:C20"/>
    <mergeCell ref="K20:L20"/>
    <mergeCell ref="B21:C21"/>
    <mergeCell ref="K21:L21"/>
    <mergeCell ref="B22:C22"/>
    <mergeCell ref="K22:L22"/>
    <mergeCell ref="B23:C23"/>
    <mergeCell ref="K23:L23"/>
    <mergeCell ref="B24:C24"/>
    <mergeCell ref="K24:L24"/>
    <mergeCell ref="B25:C25"/>
    <mergeCell ref="K25:L25"/>
    <mergeCell ref="B26:C26"/>
    <mergeCell ref="K26:L26"/>
    <mergeCell ref="B27:C27"/>
    <mergeCell ref="K27:L27"/>
    <mergeCell ref="B28:C28"/>
    <mergeCell ref="K28:L28"/>
    <mergeCell ref="B29:C29"/>
    <mergeCell ref="K29:L29"/>
    <mergeCell ref="B30:C30"/>
    <mergeCell ref="K30:L30"/>
    <mergeCell ref="B31:C31"/>
    <mergeCell ref="K31:L31"/>
    <mergeCell ref="B35:C35"/>
    <mergeCell ref="K35:L35"/>
    <mergeCell ref="B36:C36"/>
    <mergeCell ref="K36:L36"/>
    <mergeCell ref="B32:C32"/>
    <mergeCell ref="K32:L32"/>
    <mergeCell ref="B33:C33"/>
    <mergeCell ref="K33:L33"/>
    <mergeCell ref="B34:C34"/>
    <mergeCell ref="K34:L34"/>
  </mergeCells>
  <phoneticPr fontId="6" type="noConversion"/>
  <conditionalFormatting sqref="AB17:AB19 AB1:AB5 AB21:AB405 AB11:AB15">
    <cfRule type="expression" dxfId="27" priority="26">
      <formula>$AB1&gt;$AA1</formula>
    </cfRule>
  </conditionalFormatting>
  <conditionalFormatting sqref="AI17:AI19 AI1:AI5 AI21:AI405 AI11:AI15">
    <cfRule type="expression" dxfId="26" priority="25">
      <formula>$AI1&gt;$AH1</formula>
    </cfRule>
  </conditionalFormatting>
  <conditionalFormatting sqref="AD37:AG405 W37:Z405 R37:U405 AD17:AG19 W17:Z19 R17:U19 AD1:AG5 W1:Z5 R1:U5 R11:U15 W11:Z15 AD11:AG15">
    <cfRule type="expression" dxfId="25" priority="24">
      <formula>OR(WEEKDAY(R1)=1, WEEKDAY(R1)=7)</formula>
    </cfRule>
  </conditionalFormatting>
  <conditionalFormatting sqref="N37:N405 K37:K405 J21:J36">
    <cfRule type="expression" dxfId="24" priority="23">
      <formula>OR($K21="추가", $K21="변경", $K21="삭제")</formula>
    </cfRule>
  </conditionalFormatting>
  <conditionalFormatting sqref="J2">
    <cfRule type="expression" dxfId="23" priority="22">
      <formula>OR(#REF!="추가", #REF!="변경", #REF!="삭제")</formula>
    </cfRule>
  </conditionalFormatting>
  <conditionalFormatting sqref="J11">
    <cfRule type="expression" dxfId="22" priority="20">
      <formula>OR($K11="추가", $K11="변경", $K11="삭제")</formula>
    </cfRule>
  </conditionalFormatting>
  <conditionalFormatting sqref="J4">
    <cfRule type="expression" dxfId="21" priority="21">
      <formula>OR($K4="추가", $K4="변경", $K4="삭제")</formula>
    </cfRule>
  </conditionalFormatting>
  <conditionalFormatting sqref="J12">
    <cfRule type="expression" dxfId="20" priority="19">
      <formula>OR($K12="추가", $K12="변경", $K12="삭제")</formula>
    </cfRule>
  </conditionalFormatting>
  <conditionalFormatting sqref="M4">
    <cfRule type="expression" dxfId="19" priority="18">
      <formula>OR($K4="추가", $K4="변경", $K4="삭제")</formula>
    </cfRule>
  </conditionalFormatting>
  <conditionalFormatting sqref="O2:O3 P2">
    <cfRule type="expression" dxfId="18" priority="27">
      <formula>OR(#REF!="추가", #REF!="변경", #REF!="삭제")</formula>
    </cfRule>
  </conditionalFormatting>
  <conditionalFormatting sqref="AB16">
    <cfRule type="expression" dxfId="17" priority="17">
      <formula>$AB16&gt;$AA16</formula>
    </cfRule>
  </conditionalFormatting>
  <conditionalFormatting sqref="AI16">
    <cfRule type="expression" dxfId="16" priority="16">
      <formula>$AI16&gt;$AH16</formula>
    </cfRule>
  </conditionalFormatting>
  <conditionalFormatting sqref="R16:U16 W16:Z16 AD16:AG16">
    <cfRule type="expression" dxfId="15" priority="15">
      <formula>OR(WEEKDAY(R16)=1, WEEKDAY(R16)=7)</formula>
    </cfRule>
  </conditionalFormatting>
  <conditionalFormatting sqref="AB20">
    <cfRule type="expression" dxfId="14" priority="14">
      <formula>$AB20&gt;$AA20</formula>
    </cfRule>
  </conditionalFormatting>
  <conditionalFormatting sqref="AI20">
    <cfRule type="expression" dxfId="13" priority="13">
      <formula>$AI20&gt;$AH20</formula>
    </cfRule>
  </conditionalFormatting>
  <conditionalFormatting sqref="R20:U20 W20:Z20 AD20:AG20">
    <cfRule type="expression" dxfId="12" priority="12">
      <formula>OR(WEEKDAY(R20)=1, WEEKDAY(R20)=7)</formula>
    </cfRule>
  </conditionalFormatting>
  <conditionalFormatting sqref="AD14:AG14 W14:Z14 R14:U14">
    <cfRule type="expression" dxfId="11" priority="11">
      <formula>OR(WEEKDAY(R14)=1, WEEKDAY(R14)=7)</formula>
    </cfRule>
  </conditionalFormatting>
  <conditionalFormatting sqref="J13:J20">
    <cfRule type="expression" dxfId="10" priority="10">
      <formula>OR($K13="추가", $K13="변경", $K13="삭제")</formula>
    </cfRule>
  </conditionalFormatting>
  <conditionalFormatting sqref="P3">
    <cfRule type="expression" dxfId="9" priority="9">
      <formula>OR($J3="추가", $J3="변경", $J3="삭제")</formula>
    </cfRule>
  </conditionalFormatting>
  <conditionalFormatting sqref="J5 M5:N5">
    <cfRule type="expression" dxfId="8" priority="28">
      <formula>OR(#REF!="추가", #REF!="변경", #REF!="삭제")</formula>
    </cfRule>
  </conditionalFormatting>
  <conditionalFormatting sqref="R21:U36 W21:Z36 AD21:AG36">
    <cfRule type="expression" dxfId="7" priority="8">
      <formula>OR(WEEKDAY(R21)=1, WEEKDAY(R21)=7)</formula>
    </cfRule>
  </conditionalFormatting>
  <conditionalFormatting sqref="AB6:AB10">
    <cfRule type="expression" dxfId="6" priority="7">
      <formula>$AB6&gt;$AA6</formula>
    </cfRule>
  </conditionalFormatting>
  <conditionalFormatting sqref="AI6:AI10">
    <cfRule type="expression" dxfId="5" priority="6">
      <formula>$AI6&gt;$AH6</formula>
    </cfRule>
  </conditionalFormatting>
  <conditionalFormatting sqref="AD6:AG10 W6:Z10 R6:U10">
    <cfRule type="expression" dxfId="4" priority="5">
      <formula>OR(WEEKDAY(R6)=1, WEEKDAY(R6)=7)</formula>
    </cfRule>
  </conditionalFormatting>
  <conditionalFormatting sqref="J6">
    <cfRule type="expression" dxfId="3" priority="4">
      <formula>OR($K6="추가", $K6="변경", $K6="삭제")</formula>
    </cfRule>
  </conditionalFormatting>
  <conditionalFormatting sqref="J7">
    <cfRule type="expression" dxfId="2" priority="3">
      <formula>OR($K7="추가", $K7="변경", $K7="삭제")</formula>
    </cfRule>
  </conditionalFormatting>
  <conditionalFormatting sqref="AD9:AG9 W9:Z9 R9:U9">
    <cfRule type="expression" dxfId="1" priority="2">
      <formula>OR(WEEKDAY(R9)=1, WEEKDAY(R9)=7)</formula>
    </cfRule>
  </conditionalFormatting>
  <conditionalFormatting sqref="J8:J10">
    <cfRule type="expression" dxfId="0" priority="1">
      <formula>OR($K8="추가", $K8="변경", $K8="삭제")</formula>
    </cfRule>
  </conditionalFormatting>
  <dataValidations count="1">
    <dataValidation type="list" showInputMessage="1" showErrorMessage="1" sqref="P3 J6:J36">
      <formula1>"-,P,F,N/A"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38" fitToHeight="0" orientation="landscape" r:id="rId1"/>
  <headerFooter>
    <oddHeader>&amp;L디지털무역기반구축사업(시스템 개발 3단계)&amp;RD0201_G01_통합테스트시나리오_&amp;A</oddHeader>
    <oddFooter>&amp;L&amp;G&amp;C&amp;P&amp;R&amp;G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추적 테스트시나리오목록</vt:lpstr>
      <vt:lpstr>추적필수정보</vt:lpstr>
      <vt:lpstr>Data(해상수입)</vt:lpstr>
      <vt:lpstr>Data(해상수출)</vt:lpstr>
      <vt:lpstr>해상수입</vt:lpstr>
      <vt:lpstr>해상수출</vt:lpstr>
      <vt:lpstr>항공수입</vt:lpstr>
      <vt:lpstr>항공수출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JiSeong.yi</dc:creator>
  <cp:lastModifiedBy>모람씨앤티</cp:lastModifiedBy>
  <cp:lastPrinted>2021-10-15T03:48:40Z</cp:lastPrinted>
  <dcterms:created xsi:type="dcterms:W3CDTF">2000-12-11T08:32:34Z</dcterms:created>
  <dcterms:modified xsi:type="dcterms:W3CDTF">2022-08-10T02:03:45Z</dcterms:modified>
</cp:coreProperties>
</file>